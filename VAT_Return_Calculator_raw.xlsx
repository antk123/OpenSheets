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Sales" sheetId="2" state="visible" r:id="rId2"/>
    <sheet xmlns:r="http://schemas.openxmlformats.org/officeDocument/2006/relationships" name="Purchases" sheetId="3" state="visible" r:id="rId3"/>
    <sheet xmlns:r="http://schemas.openxmlformats.org/officeDocument/2006/relationships" name="VAT Return" sheetId="4" state="visible" r:id="rId4"/>
    <sheet xmlns:r="http://schemas.openxmlformats.org/officeDocument/2006/relationships" name="Flat Rate" sheetId="5" state="visible" r:id="rId5"/>
    <sheet xmlns:r="http://schemas.openxmlformats.org/officeDocument/2006/relationships" name="Audit Check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DD/MM/YYYY"/>
    <numFmt numFmtId="166" formatCode="£#,##0.00"/>
    <numFmt numFmtId="167" formatCode="0.00&quot;%&quot;"/>
  </numFmts>
  <fonts count="21">
    <font>
      <name val="Calibri"/>
      <family val="2"/>
      <color theme="1"/>
      <sz val="11"/>
      <scheme val="minor"/>
    </font>
    <font>
      <name val="Calibri"/>
      <b val="1"/>
      <color rgb="00122B49"/>
      <sz val="22"/>
    </font>
    <font>
      <name val="Calibri"/>
      <b val="1"/>
      <color rgb="007F8C8D"/>
      <sz val="14"/>
    </font>
    <font>
      <name val="Calibri"/>
      <b val="1"/>
      <color rgb="002C3E50"/>
      <sz val="11"/>
    </font>
    <font>
      <name val="Calibri"/>
      <color rgb="002980B9"/>
      <sz val="11"/>
    </font>
    <font>
      <name val="Calibri"/>
      <color rgb="002C3E50"/>
      <sz val="11"/>
    </font>
    <font>
      <name val="Calibri"/>
      <b val="1"/>
      <color rgb="00122B49"/>
      <sz val="13"/>
    </font>
    <font>
      <name val="Calibri"/>
      <b val="1"/>
      <color rgb="00FFFFFF"/>
      <sz val="11"/>
    </font>
    <font>
      <name val="Calibri"/>
      <color rgb="007F8C8D"/>
      <sz val="10"/>
    </font>
    <font>
      <name val="Calibri"/>
      <b val="1"/>
      <color rgb="00122B49"/>
      <sz val="11"/>
    </font>
    <font>
      <name val="Calibri"/>
      <b val="1"/>
      <color rgb="00FFFFFF"/>
      <sz val="12"/>
    </font>
    <font>
      <name val="Calibri"/>
      <b val="1"/>
      <color rgb="0027AE60"/>
      <sz val="10"/>
    </font>
    <font>
      <name val="Calibri"/>
      <b val="1"/>
      <color rgb="0027AE60"/>
      <sz val="14"/>
    </font>
    <font>
      <name val="Calibri"/>
      <b val="1"/>
      <color rgb="00122B49"/>
      <sz val="10"/>
    </font>
    <font>
      <name val="Calibri"/>
      <b val="1"/>
      <color rgb="00122B49"/>
      <sz val="16"/>
    </font>
    <font>
      <name val="Calibri"/>
      <b val="1"/>
      <color rgb="00122B49"/>
      <sz val="20"/>
    </font>
    <font>
      <name val="Calibri"/>
      <color rgb="0027AE60"/>
      <sz val="11"/>
    </font>
    <font>
      <name val="Calibri"/>
      <b val="1"/>
      <color rgb="00122B49"/>
      <sz val="12"/>
    </font>
    <font>
      <name val="Calibri"/>
      <b val="1"/>
      <color rgb="0027AE60"/>
      <sz val="12"/>
    </font>
    <font>
      <name val="Calibri"/>
      <b val="1"/>
      <color rgb="00E74C3C"/>
      <sz val="12"/>
    </font>
    <font>
      <name val="Calibri"/>
      <b val="1"/>
      <sz val="12"/>
    </font>
  </fonts>
  <fills count="9">
    <fill>
      <patternFill/>
    </fill>
    <fill>
      <patternFill patternType="gray125"/>
    </fill>
    <fill>
      <patternFill patternType="solid">
        <fgColor rgb="0027AE60"/>
        <bgColor rgb="0027AE60"/>
      </patternFill>
    </fill>
    <fill>
      <patternFill patternType="solid">
        <fgColor rgb="00F5F7FA"/>
        <bgColor rgb="00F5F7FA"/>
      </patternFill>
    </fill>
    <fill>
      <patternFill patternType="solid">
        <fgColor rgb="00122B49"/>
        <bgColor rgb="00122B49"/>
      </patternFill>
    </fill>
    <fill>
      <patternFill patternType="solid">
        <fgColor rgb="00E8F6F3"/>
        <bgColor rgb="00E8F6F3"/>
      </patternFill>
    </fill>
    <fill>
      <patternFill patternType="solid">
        <fgColor rgb="00E8F8F5"/>
        <bgColor rgb="00E8F8F5"/>
      </patternFill>
    </fill>
    <fill>
      <patternFill patternType="solid">
        <fgColor rgb="00FFFFFF"/>
        <bgColor rgb="00FFFFFF"/>
      </patternFill>
    </fill>
    <fill>
      <patternFill patternType="solid">
        <fgColor rgb="00FFF3E0"/>
        <bgColor rgb="00FFF3E0"/>
      </patternFill>
    </fill>
  </fills>
  <borders count="8">
    <border>
      <left/>
      <right/>
      <top/>
      <bottom/>
      <diagonal/>
    </border>
    <border>
      <bottom style="medium">
        <color rgb="00122B49"/>
      </bottom>
    </border>
    <border>
      <bottom style="thin">
        <color rgb="00D5D8DC"/>
      </bottom>
    </border>
    <border>
      <top style="medium">
        <color rgb="00122B49"/>
      </top>
      <bottom style="double">
        <color rgb="00122B49"/>
      </bottom>
    </border>
    <border>
      <top style="thin">
        <color rgb="00D5D8DC"/>
      </top>
      <bottom style="medium">
        <color rgb="00122B49"/>
      </bottom>
    </border>
    <border>
      <left style="medium">
        <color rgb="00122B49"/>
      </left>
      <right style="medium">
        <color rgb="00122B49"/>
      </right>
      <top style="medium">
        <color rgb="00122B49"/>
      </top>
      <bottom style="double">
        <color rgb="00122B49"/>
      </bottom>
    </border>
    <border>
      <bottom style="double">
        <color rgb="00122B49"/>
      </bottom>
    </border>
    <border>
      <left style="medium">
        <color rgb="00122B49"/>
      </left>
      <right style="medium">
        <color rgb="00122B49"/>
      </right>
      <top style="medium">
        <color rgb="00122B49"/>
      </top>
      <bottom style="medium">
        <color rgb="00122B49"/>
      </bottom>
    </border>
  </borders>
  <cellStyleXfs count="1">
    <xf numFmtId="0" fontId="0" fillId="0" borderId="0"/>
  </cellStyleXfs>
  <cellXfs count="66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0" fillId="2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3" fillId="3" borderId="0" pivotButton="0" quotePrefix="0" xfId="0"/>
    <xf numFmtId="0" fontId="5" fillId="3" borderId="0" pivotButton="0" quotePrefix="0" xfId="0"/>
    <xf numFmtId="0" fontId="0" fillId="3" borderId="0" pivotButton="0" quotePrefix="0" xfId="0"/>
    <xf numFmtId="0" fontId="7" fillId="4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center"/>
    </xf>
    <xf numFmtId="0" fontId="8" fillId="0" borderId="0" pivotButton="0" quotePrefix="0" xfId="0"/>
    <xf numFmtId="0" fontId="2" fillId="0" borderId="0" pivotButton="0" quotePrefix="0" xfId="0"/>
    <xf numFmtId="0" fontId="7" fillId="4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left" vertical="center"/>
    </xf>
    <xf numFmtId="165" fontId="5" fillId="3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left" vertical="center"/>
    </xf>
    <xf numFmtId="166" fontId="4" fillId="3" borderId="0" applyAlignment="1" pivotButton="0" quotePrefix="0" xfId="0">
      <alignment horizontal="right" vertical="center"/>
    </xf>
    <xf numFmtId="166" fontId="5" fillId="3" borderId="0" applyAlignment="1" pivotButton="0" quotePrefix="0" xfId="0">
      <alignment horizontal="right" vertical="center"/>
    </xf>
    <xf numFmtId="165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center"/>
    </xf>
    <xf numFmtId="166" fontId="4" fillId="0" borderId="0" applyAlignment="1" pivotButton="0" quotePrefix="0" xfId="0">
      <alignment horizontal="right" vertical="center"/>
    </xf>
    <xf numFmtId="166" fontId="5" fillId="0" borderId="0" applyAlignment="1" pivotButton="0" quotePrefix="0" xfId="0">
      <alignment horizontal="right" vertical="center"/>
    </xf>
    <xf numFmtId="0" fontId="0" fillId="0" borderId="2" pivotButton="0" quotePrefix="0" xfId="0"/>
    <xf numFmtId="0" fontId="0" fillId="3" borderId="2" pivotButton="0" quotePrefix="0" xfId="0"/>
    <xf numFmtId="0" fontId="9" fillId="5" borderId="3" applyAlignment="1" pivotButton="0" quotePrefix="0" xfId="0">
      <alignment horizontal="right" vertical="center"/>
    </xf>
    <xf numFmtId="0" fontId="0" fillId="5" borderId="3" pivotButton="0" quotePrefix="0" xfId="0"/>
    <xf numFmtId="166" fontId="9" fillId="5" borderId="3" applyAlignment="1" pivotButton="0" quotePrefix="0" xfId="0">
      <alignment horizontal="right" vertical="center"/>
    </xf>
    <xf numFmtId="0" fontId="4" fillId="3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4" fillId="3" borderId="0" pivotButton="0" quotePrefix="0" xfId="0"/>
    <xf numFmtId="0" fontId="10" fillId="4" borderId="0" applyAlignment="1" pivotButton="0" quotePrefix="0" xfId="0">
      <alignment horizontal="left" vertical="center"/>
    </xf>
    <xf numFmtId="0" fontId="0" fillId="4" borderId="0" pivotButton="0" quotePrefix="0" xfId="0"/>
    <xf numFmtId="0" fontId="11" fillId="0" borderId="0" pivotButton="0" quotePrefix="0" xfId="0"/>
    <xf numFmtId="166" fontId="12" fillId="6" borderId="2" applyAlignment="1" pivotButton="0" quotePrefix="0" xfId="0">
      <alignment horizontal="right" vertical="center"/>
    </xf>
    <xf numFmtId="166" fontId="4" fillId="7" borderId="2" applyAlignment="1" pivotButton="0" quotePrefix="0" xfId="0">
      <alignment horizontal="right" vertical="center"/>
    </xf>
    <xf numFmtId="0" fontId="13" fillId="0" borderId="0" pivotButton="0" quotePrefix="0" xfId="0"/>
    <xf numFmtId="166" fontId="14" fillId="8" borderId="4" applyAlignment="1" pivotButton="0" quotePrefix="0" xfId="0">
      <alignment horizontal="right" vertical="center"/>
    </xf>
    <xf numFmtId="0" fontId="10" fillId="2" borderId="0" applyAlignment="1" pivotButton="0" quotePrefix="0" xfId="0">
      <alignment horizontal="left" vertical="center"/>
    </xf>
    <xf numFmtId="166" fontId="15" fillId="8" borderId="5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4" fontId="16" fillId="0" borderId="2" applyAlignment="1" pivotButton="0" quotePrefix="0" xfId="0">
      <alignment horizontal="right" vertical="center"/>
    </xf>
    <xf numFmtId="4" fontId="4" fillId="0" borderId="2" applyAlignment="1" pivotButton="0" quotePrefix="0" xfId="0">
      <alignment horizontal="right" vertical="center"/>
    </xf>
    <xf numFmtId="166" fontId="17" fillId="0" borderId="0" applyAlignment="1" pivotButton="0" quotePrefix="0" xfId="0">
      <alignment horizontal="right" vertical="center"/>
    </xf>
    <xf numFmtId="0" fontId="5" fillId="0" borderId="0" applyAlignment="1" pivotButton="0" quotePrefix="0" xfId="0">
      <alignment horizontal="right" vertical="center"/>
    </xf>
    <xf numFmtId="0" fontId="4" fillId="0" borderId="0" applyAlignment="1" pivotButton="0" quotePrefix="0" xfId="0">
      <alignment horizontal="right" vertical="center"/>
    </xf>
    <xf numFmtId="0" fontId="6" fillId="3" borderId="0" pivotButton="0" quotePrefix="0" xfId="0"/>
    <xf numFmtId="0" fontId="8" fillId="3" borderId="0" pivotButton="0" quotePrefix="0" xfId="0"/>
    <xf numFmtId="0" fontId="1" fillId="0" borderId="0" pivotButton="0" quotePrefix="0" xfId="0"/>
    <xf numFmtId="166" fontId="16" fillId="0" borderId="0" applyAlignment="1" pivotButton="0" quotePrefix="0" xfId="0">
      <alignment horizontal="right" vertical="center"/>
    </xf>
    <xf numFmtId="166" fontId="17" fillId="8" borderId="1" applyAlignment="1" pivotButton="0" quotePrefix="0" xfId="0">
      <alignment horizontal="right" vertical="center"/>
    </xf>
    <xf numFmtId="167" fontId="4" fillId="0" borderId="0" applyAlignment="1" pivotButton="0" quotePrefix="0" xfId="0">
      <alignment horizontal="right" vertical="center"/>
    </xf>
    <xf numFmtId="166" fontId="5" fillId="8" borderId="1" applyAlignment="1" pivotButton="0" quotePrefix="0" xfId="0">
      <alignment horizontal="right" vertical="center"/>
    </xf>
    <xf numFmtId="166" fontId="17" fillId="8" borderId="6" applyAlignment="1" pivotButton="0" quotePrefix="0" xfId="0">
      <alignment horizontal="right" vertical="center"/>
    </xf>
    <xf numFmtId="0" fontId="7" fillId="4" borderId="0" pivotButton="0" quotePrefix="0" xfId="0"/>
    <xf numFmtId="0" fontId="7" fillId="4" borderId="0" applyAlignment="1" pivotButton="0" quotePrefix="0" xfId="0">
      <alignment horizontal="center" vertical="center"/>
    </xf>
    <xf numFmtId="0" fontId="16" fillId="3" borderId="0" applyAlignment="1" pivotButton="0" quotePrefix="0" xfId="0">
      <alignment horizontal="center" vertical="center"/>
    </xf>
    <xf numFmtId="0" fontId="16" fillId="0" borderId="0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 vertical="center"/>
    </xf>
    <xf numFmtId="0" fontId="19" fillId="0" borderId="0" applyAlignment="1" pivotButton="0" quotePrefix="0" xfId="0">
      <alignment horizontal="center" vertical="center"/>
    </xf>
    <xf numFmtId="0" fontId="20" fillId="3" borderId="7" applyAlignment="1" pivotButton="0" quotePrefix="0" xfId="0">
      <alignment horizontal="center" vertical="center"/>
    </xf>
    <xf numFmtId="166" fontId="1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D33"/>
  <sheetViews>
    <sheetView showGridLines="0" workbookViewId="0">
      <selection activeCell="A1" sqref="A1"/>
    </sheetView>
  </sheetViews>
  <sheetFormatPr baseColWidth="8" defaultRowHeight="15" outlineLevelCol="0"/>
  <cols>
    <col width="3" customWidth="1" min="1" max="1"/>
    <col width="45" customWidth="1" min="2" max="2"/>
    <col width="30" customWidth="1" min="3" max="3"/>
    <col width="20" customWidth="1" min="4" max="4"/>
    <col width="3" customWidth="1" min="5" max="5"/>
  </cols>
  <sheetData>
    <row r="2" ht="40" customHeight="1">
      <c r="B2" s="1" t="inlineStr">
        <is>
          <t>VAT RETURN CALCULATOR</t>
        </is>
      </c>
    </row>
    <row r="3" ht="25" customHeight="1">
      <c r="B3" s="2" t="inlineStr">
        <is>
          <t>UK VAT-Registered Businesses</t>
        </is>
      </c>
    </row>
    <row r="4" ht="6" customHeight="1">
      <c r="B4" s="3" t="n"/>
      <c r="C4" s="3" t="n"/>
      <c r="D4" s="3" t="n"/>
    </row>
    <row r="6" ht="22" customHeight="1">
      <c r="B6" s="4" t="inlineStr">
        <is>
          <t>Business Name:</t>
        </is>
      </c>
      <c r="C6" s="5" t="inlineStr">
        <is>
          <t>[Enter your business name]</t>
        </is>
      </c>
    </row>
    <row r="7" ht="22" customHeight="1">
      <c r="B7" s="4" t="inlineStr">
        <is>
          <t>VAT Registration Number:</t>
        </is>
      </c>
      <c r="C7" s="5" t="inlineStr">
        <is>
          <t>[GBXXXXXXXXX]</t>
        </is>
      </c>
    </row>
    <row r="8" ht="22" customHeight="1">
      <c r="B8" s="4" t="inlineStr">
        <is>
          <t>VAT Quarter:</t>
        </is>
      </c>
      <c r="C8" s="5" t="inlineStr">
        <is>
          <t>[e.g. Q1 2026 (Jan - Mar)]</t>
        </is>
      </c>
    </row>
    <row r="9" ht="22" customHeight="1">
      <c r="B9" s="4" t="inlineStr">
        <is>
          <t>VAT Rate:</t>
        </is>
      </c>
      <c r="C9" s="6" t="inlineStr">
        <is>
          <t>Standard 20%</t>
        </is>
      </c>
    </row>
    <row r="10" ht="8" customHeight="1"/>
    <row r="11" ht="25" customHeight="1">
      <c r="B11" s="7" t="inlineStr">
        <is>
          <t>WHAT THIS WORKBOOK DOES</t>
        </is>
      </c>
    </row>
    <row r="12" ht="20" customHeight="1">
      <c r="B12" s="8" t="inlineStr">
        <is>
          <t>1. Sales Sheet</t>
        </is>
      </c>
      <c r="C12" s="9" t="inlineStr">
        <is>
          <t>Record all sales invoices with auto VAT calculation</t>
        </is>
      </c>
      <c r="D12" s="10" t="n"/>
    </row>
    <row r="13" ht="20" customHeight="1">
      <c r="B13" s="4" t="inlineStr">
        <is>
          <t>2. Purchases Sheet</t>
        </is>
      </c>
      <c r="C13" s="6" t="inlineStr">
        <is>
          <t>Record purchase invoices with VAT reclaim tracking</t>
        </is>
      </c>
    </row>
    <row r="14" ht="20" customHeight="1">
      <c r="B14" s="8" t="inlineStr">
        <is>
          <t>3. VAT Return</t>
        </is>
      </c>
      <c r="C14" s="9" t="inlineStr">
        <is>
          <t>Auto-calculates all 9 HMRC VAT Return boxes</t>
        </is>
      </c>
      <c r="D14" s="10" t="n"/>
    </row>
    <row r="15" ht="20" customHeight="1">
      <c r="B15" s="4" t="inlineStr">
        <is>
          <t>4. Flat Rate Scheme</t>
        </is>
      </c>
      <c r="C15" s="6" t="inlineStr">
        <is>
          <t>Compares standard vs flat rate VAT schemes</t>
        </is>
      </c>
    </row>
    <row r="16" ht="20" customHeight="1">
      <c r="B16" s="8" t="inlineStr">
        <is>
          <t>5. Audit Check</t>
        </is>
      </c>
      <c r="C16" s="9" t="inlineStr">
        <is>
          <t>Validates your figures and flags any issues</t>
        </is>
      </c>
      <c r="D16" s="10" t="n"/>
    </row>
    <row r="17" ht="15" customHeight="1"/>
    <row r="18" ht="25" customHeight="1">
      <c r="B18" s="7" t="inlineStr">
        <is>
          <t>SHEET INDEX</t>
        </is>
      </c>
    </row>
    <row r="19" ht="22" customHeight="1">
      <c r="B19" s="11" t="inlineStr">
        <is>
          <t>Sheet</t>
        </is>
      </c>
      <c r="C19" s="11" t="inlineStr">
        <is>
          <t>Description</t>
        </is>
      </c>
    </row>
    <row r="20" ht="20" customHeight="1">
      <c r="B20" s="4" t="inlineStr">
        <is>
          <t>Cover</t>
        </is>
      </c>
      <c r="C20" s="6" t="inlineStr">
        <is>
          <t>This page - instructions and navigation</t>
        </is>
      </c>
    </row>
    <row r="21" ht="20" customHeight="1">
      <c r="B21" s="8" t="inlineStr">
        <is>
          <t>Sales</t>
        </is>
      </c>
      <c r="C21" s="9" t="inlineStr">
        <is>
          <t>Enter your sales invoices with auto VAT @ 20%</t>
        </is>
      </c>
      <c r="D21" s="10" t="n"/>
    </row>
    <row r="22" ht="20" customHeight="1">
      <c r="B22" s="4" t="inlineStr">
        <is>
          <t>Purchases</t>
        </is>
      </c>
      <c r="C22" s="6" t="inlineStr">
        <is>
          <t>Enter your purchase invoices with reclaimable VAT</t>
        </is>
      </c>
    </row>
    <row r="23" ht="20" customHeight="1">
      <c r="B23" s="8" t="inlineStr">
        <is>
          <t>VAT Return</t>
        </is>
      </c>
      <c r="C23" s="9" t="inlineStr">
        <is>
          <t>Auto-calculated HMRC VAT Return (all 9 boxes)</t>
        </is>
      </c>
      <c r="D23" s="10" t="n"/>
    </row>
    <row r="24" ht="20" customHeight="1">
      <c r="B24" s="4" t="inlineStr">
        <is>
          <t>Flat Rate</t>
        </is>
      </c>
      <c r="C24" s="6" t="inlineStr">
        <is>
          <t>Compare standard VAT vs Flat Rate Scheme</t>
        </is>
      </c>
    </row>
    <row r="25" ht="20" customHeight="1">
      <c r="B25" s="8" t="inlineStr">
        <is>
          <t>Audit Check</t>
        </is>
      </c>
      <c r="C25" s="9" t="inlineStr">
        <is>
          <t>Validation formulas and error checking</t>
        </is>
      </c>
      <c r="D25" s="10" t="n"/>
    </row>
    <row r="26" ht="15" customHeight="1"/>
    <row r="27" ht="25" customHeight="1">
      <c r="B27" s="7" t="inlineStr">
        <is>
          <t>IMPORTANT NOTES</t>
        </is>
      </c>
    </row>
    <row r="28" ht="20" customHeight="1">
      <c r="B28" s="12" t="inlineStr">
        <is>
          <t>•</t>
        </is>
      </c>
      <c r="C28" s="13" t="inlineStr">
        <is>
          <t>All calculations are formula-driven. Do not overwrite formula cells (shown in black text).</t>
        </is>
      </c>
    </row>
    <row r="29" ht="20" customHeight="1">
      <c r="B29" s="12" t="inlineStr">
        <is>
          <t>•</t>
        </is>
      </c>
      <c r="C29" s="13" t="inlineStr">
        <is>
          <t>Enter your data ONLY in blue-text cells.</t>
        </is>
      </c>
    </row>
    <row r="30" ht="20" customHeight="1">
      <c r="B30" s="12" t="inlineStr">
        <is>
          <t>•</t>
        </is>
      </c>
      <c r="C30" s="13" t="inlineStr">
        <is>
          <t>The VAT Return sheet auto-calculates from your Sales and Purchases entries.</t>
        </is>
      </c>
    </row>
    <row r="31" ht="20" customHeight="1">
      <c r="B31" s="12" t="inlineStr">
        <is>
          <t>•</t>
        </is>
      </c>
      <c r="C31" s="13" t="inlineStr">
        <is>
          <t>Submit your VAT Return online at gov.uk by the deadline (1 month + 7 days after quarter end).</t>
        </is>
      </c>
    </row>
    <row r="32" ht="20" customHeight="1">
      <c r="B32" s="12" t="inlineStr">
        <is>
          <t>•</t>
        </is>
      </c>
      <c r="C32" s="13" t="inlineStr">
        <is>
          <t>Keep all VAT invoices for at least 6 years (HMRC requirement).</t>
        </is>
      </c>
    </row>
    <row r="33" ht="20" customHeight="1">
      <c r="B33" s="12" t="inlineStr">
        <is>
          <t>•</t>
        </is>
      </c>
      <c r="C33" s="13" t="inlineStr">
        <is>
          <t>Current UK VAT registration threshold: £85,000 turnover per year.</t>
        </is>
      </c>
    </row>
  </sheetData>
  <mergeCells count="8">
    <mergeCell ref="B3:D3"/>
    <mergeCell ref="C29:D29"/>
    <mergeCell ref="C30:D30"/>
    <mergeCell ref="C32:D32"/>
    <mergeCell ref="C33:D33"/>
    <mergeCell ref="C28:D28"/>
    <mergeCell ref="C31:D31"/>
    <mergeCell ref="B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H32"/>
  <sheetViews>
    <sheetView showGridLines="0" workbookViewId="0">
      <selection activeCell="A1" sqref="A1"/>
    </sheetView>
  </sheetViews>
  <sheetFormatPr baseColWidth="8" defaultRowHeight="15" outlineLevelCol="0"/>
  <cols>
    <col width="3" customWidth="1" min="1" max="1"/>
    <col width="14" customWidth="1" min="2" max="2"/>
    <col width="14" customWidth="1" min="3" max="3"/>
    <col width="26" customWidth="1" min="4" max="4"/>
    <col width="30" customWidth="1" min="5" max="5"/>
    <col width="16" customWidth="1" min="6" max="6"/>
    <col width="14" customWidth="1" min="7" max="7"/>
    <col width="16" customWidth="1" min="8" max="8"/>
  </cols>
  <sheetData>
    <row r="2" ht="35" customHeight="1">
      <c r="B2" s="1" t="inlineStr">
        <is>
          <t>SALES INVOICES</t>
        </is>
      </c>
    </row>
    <row r="3" ht="22" customHeight="1">
      <c r="B3" s="14" t="inlineStr">
        <is>
          <t>Enter all sales invoices for the VAT quarter</t>
        </is>
      </c>
    </row>
    <row r="4" ht="5" customHeight="1">
      <c r="B4" s="3" t="n"/>
      <c r="C4" s="3" t="n"/>
      <c r="D4" s="3" t="n"/>
      <c r="E4" s="3" t="n"/>
      <c r="F4" s="3" t="n"/>
      <c r="G4" s="3" t="n"/>
      <c r="H4" s="3" t="n"/>
    </row>
    <row r="6" ht="28" customHeight="1">
      <c r="B6" s="15" t="inlineStr">
        <is>
          <t>Date</t>
        </is>
      </c>
      <c r="C6" s="15" t="inlineStr">
        <is>
          <t>Invoice No</t>
        </is>
      </c>
      <c r="D6" s="16" t="inlineStr">
        <is>
          <t>Customer</t>
        </is>
      </c>
      <c r="E6" s="16" t="inlineStr">
        <is>
          <t>Description</t>
        </is>
      </c>
      <c r="F6" s="15" t="inlineStr">
        <is>
          <t>Net Amount</t>
        </is>
      </c>
      <c r="G6" s="15" t="inlineStr">
        <is>
          <t>VAT @ 20%</t>
        </is>
      </c>
      <c r="H6" s="15" t="inlineStr">
        <is>
          <t>Gross Amount</t>
        </is>
      </c>
    </row>
    <row r="7" ht="22" customHeight="1">
      <c r="B7" s="17" t="n">
        <v>46027</v>
      </c>
      <c r="C7" s="18" t="inlineStr">
        <is>
          <t>INV-1001</t>
        </is>
      </c>
      <c r="D7" s="19" t="inlineStr">
        <is>
          <t>ABC Ltd</t>
        </is>
      </c>
      <c r="E7" s="19" t="inlineStr">
        <is>
          <t>Consulting Services</t>
        </is>
      </c>
      <c r="F7" s="20" t="n">
        <v>2500</v>
      </c>
      <c r="G7" s="21">
        <f>F7*0.2</f>
        <v/>
      </c>
      <c r="H7" s="21">
        <f>F7+G7</f>
        <v/>
      </c>
    </row>
    <row r="8" ht="22" customHeight="1">
      <c r="B8" s="22" t="n">
        <v>46034</v>
      </c>
      <c r="C8" s="23" t="inlineStr">
        <is>
          <t>INV-1002</t>
        </is>
      </c>
      <c r="D8" s="24" t="inlineStr">
        <is>
          <t>XYZ Ltd</t>
        </is>
      </c>
      <c r="E8" s="24" t="inlineStr">
        <is>
          <t>Website Design &amp; Development</t>
        </is>
      </c>
      <c r="F8" s="25" t="n">
        <v>1800</v>
      </c>
      <c r="G8" s="26">
        <f>F8*0.2</f>
        <v/>
      </c>
      <c r="H8" s="26">
        <f>F8+G8</f>
        <v/>
      </c>
    </row>
    <row r="9" ht="22" customHeight="1">
      <c r="B9" s="17" t="n">
        <v>46040</v>
      </c>
      <c r="C9" s="18" t="inlineStr">
        <is>
          <t>INV-1003</t>
        </is>
      </c>
      <c r="D9" s="19" t="inlineStr">
        <is>
          <t>Smith &amp; Co</t>
        </is>
      </c>
      <c r="E9" s="19" t="inlineStr">
        <is>
          <t>Monthly Retainer - Jan</t>
        </is>
      </c>
      <c r="F9" s="20" t="n">
        <v>950</v>
      </c>
      <c r="G9" s="21">
        <f>F9*0.2</f>
        <v/>
      </c>
      <c r="H9" s="21">
        <f>F9+G9</f>
        <v/>
      </c>
    </row>
    <row r="10" ht="22" customHeight="1">
      <c r="B10" s="22" t="n">
        <v>46056</v>
      </c>
      <c r="C10" s="23" t="inlineStr">
        <is>
          <t>INV-1004</t>
        </is>
      </c>
      <c r="D10" s="24" t="inlineStr">
        <is>
          <t>Green Ltd</t>
        </is>
      </c>
      <c r="E10" s="24" t="inlineStr">
        <is>
          <t>Staff Training Course</t>
        </is>
      </c>
      <c r="F10" s="25" t="n">
        <v>1200</v>
      </c>
      <c r="G10" s="26">
        <f>F10*0.2</f>
        <v/>
      </c>
      <c r="H10" s="26">
        <f>F10+G10</f>
        <v/>
      </c>
    </row>
    <row r="11" ht="22" customHeight="1">
      <c r="B11" s="17" t="n">
        <v>46068</v>
      </c>
      <c r="C11" s="18" t="inlineStr">
        <is>
          <t>INV-1005</t>
        </is>
      </c>
      <c r="D11" s="19" t="inlineStr">
        <is>
          <t>ABC Ltd</t>
        </is>
      </c>
      <c r="E11" s="19" t="inlineStr">
        <is>
          <t>Additional Project Work</t>
        </is>
      </c>
      <c r="F11" s="20" t="n">
        <v>750</v>
      </c>
      <c r="G11" s="21">
        <f>F11*0.2</f>
        <v/>
      </c>
      <c r="H11" s="21">
        <f>F11+G11</f>
        <v/>
      </c>
    </row>
    <row r="12" ht="22" customHeight="1">
      <c r="B12" s="22" t="n">
        <v>46089</v>
      </c>
      <c r="C12" s="23" t="inlineStr">
        <is>
          <t>INV-1006</t>
        </is>
      </c>
      <c r="D12" s="24" t="inlineStr">
        <is>
          <t>Brown &amp; Sons</t>
        </is>
      </c>
      <c r="E12" s="24" t="inlineStr">
        <is>
          <t>Project Delivery</t>
        </is>
      </c>
      <c r="F12" s="25" t="n">
        <v>3200</v>
      </c>
      <c r="G12" s="26">
        <f>F12*0.2</f>
        <v/>
      </c>
      <c r="H12" s="26">
        <f>F12+G12</f>
        <v/>
      </c>
    </row>
    <row r="13" ht="22" customHeight="1">
      <c r="B13" s="27" t="n"/>
      <c r="C13" s="27" t="n"/>
      <c r="D13" s="27" t="n"/>
      <c r="E13" s="27" t="n"/>
      <c r="F13" s="27" t="n"/>
      <c r="G13" s="27" t="n"/>
      <c r="H13" s="27" t="n"/>
    </row>
    <row r="14" ht="22" customHeight="1">
      <c r="B14" s="28" t="n"/>
      <c r="C14" s="28" t="n"/>
      <c r="D14" s="28" t="n"/>
      <c r="E14" s="28" t="n"/>
      <c r="F14" s="28" t="n"/>
      <c r="G14" s="28" t="n"/>
      <c r="H14" s="28" t="n"/>
    </row>
    <row r="15" ht="22" customHeight="1">
      <c r="B15" s="27" t="n"/>
      <c r="C15" s="27" t="n"/>
      <c r="D15" s="27" t="n"/>
      <c r="E15" s="27" t="n"/>
      <c r="F15" s="27" t="n"/>
      <c r="G15" s="27" t="n"/>
      <c r="H15" s="27" t="n"/>
    </row>
    <row r="16" ht="22" customHeight="1">
      <c r="B16" s="28" t="n"/>
      <c r="C16" s="28" t="n"/>
      <c r="D16" s="28" t="n"/>
      <c r="E16" s="28" t="n"/>
      <c r="F16" s="28" t="n"/>
      <c r="G16" s="28" t="n"/>
      <c r="H16" s="28" t="n"/>
    </row>
    <row r="17" ht="22" customHeight="1">
      <c r="B17" s="27" t="n"/>
      <c r="C17" s="27" t="n"/>
      <c r="D17" s="27" t="n"/>
      <c r="E17" s="27" t="n"/>
      <c r="F17" s="27" t="n"/>
      <c r="G17" s="27" t="n"/>
      <c r="H17" s="27" t="n"/>
    </row>
    <row r="18" ht="22" customHeight="1">
      <c r="B18" s="28" t="n"/>
      <c r="C18" s="28" t="n"/>
      <c r="D18" s="28" t="n"/>
      <c r="E18" s="28" t="n"/>
      <c r="F18" s="28" t="n"/>
      <c r="G18" s="28" t="n"/>
      <c r="H18" s="28" t="n"/>
    </row>
    <row r="19" ht="22" customHeight="1">
      <c r="B19" s="27" t="n"/>
      <c r="C19" s="27" t="n"/>
      <c r="D19" s="27" t="n"/>
      <c r="E19" s="27" t="n"/>
      <c r="F19" s="27" t="n"/>
      <c r="G19" s="27" t="n"/>
      <c r="H19" s="27" t="n"/>
    </row>
    <row r="20" ht="22" customHeight="1">
      <c r="B20" s="28" t="n"/>
      <c r="C20" s="28" t="n"/>
      <c r="D20" s="28" t="n"/>
      <c r="E20" s="28" t="n"/>
      <c r="F20" s="28" t="n"/>
      <c r="G20" s="28" t="n"/>
      <c r="H20" s="28" t="n"/>
    </row>
    <row r="21" ht="22" customHeight="1">
      <c r="B21" s="27" t="n"/>
      <c r="C21" s="27" t="n"/>
      <c r="D21" s="27" t="n"/>
      <c r="E21" s="27" t="n"/>
      <c r="F21" s="27" t="n"/>
      <c r="G21" s="27" t="n"/>
      <c r="H21" s="27" t="n"/>
    </row>
    <row r="22" ht="22" customHeight="1">
      <c r="B22" s="28" t="n"/>
      <c r="C22" s="28" t="n"/>
      <c r="D22" s="28" t="n"/>
      <c r="E22" s="28" t="n"/>
      <c r="F22" s="28" t="n"/>
      <c r="G22" s="28" t="n"/>
      <c r="H22" s="28" t="n"/>
    </row>
    <row r="23" ht="22" customHeight="1">
      <c r="B23" s="27" t="n"/>
      <c r="C23" s="27" t="n"/>
      <c r="D23" s="27" t="n"/>
      <c r="E23" s="27" t="n"/>
      <c r="F23" s="27" t="n"/>
      <c r="G23" s="27" t="n"/>
      <c r="H23" s="27" t="n"/>
    </row>
    <row r="24" ht="22" customHeight="1">
      <c r="B24" s="28" t="n"/>
      <c r="C24" s="28" t="n"/>
      <c r="D24" s="28" t="n"/>
      <c r="E24" s="28" t="n"/>
      <c r="F24" s="28" t="n"/>
      <c r="G24" s="28" t="n"/>
      <c r="H24" s="28" t="n"/>
    </row>
    <row r="25" ht="22" customHeight="1">
      <c r="B25" s="27" t="n"/>
      <c r="C25" s="27" t="n"/>
      <c r="D25" s="27" t="n"/>
      <c r="E25" s="27" t="n"/>
      <c r="F25" s="27" t="n"/>
      <c r="G25" s="27" t="n"/>
      <c r="H25" s="27" t="n"/>
    </row>
    <row r="26" ht="22" customHeight="1">
      <c r="B26" s="28" t="n"/>
      <c r="C26" s="28" t="n"/>
      <c r="D26" s="28" t="n"/>
      <c r="E26" s="28" t="n"/>
      <c r="F26" s="28" t="n"/>
      <c r="G26" s="28" t="n"/>
      <c r="H26" s="28" t="n"/>
    </row>
    <row r="27" ht="28" customHeight="1">
      <c r="B27" s="29" t="inlineStr">
        <is>
          <t>TOTAL SALES</t>
        </is>
      </c>
      <c r="C27" s="30" t="n"/>
      <c r="D27" s="30" t="n"/>
      <c r="E27" s="30" t="n"/>
      <c r="F27" s="31">
        <f>SUM(F7:F26)</f>
        <v/>
      </c>
      <c r="G27" s="31">
        <f>SUM(G7:G26)</f>
        <v/>
      </c>
      <c r="H27" s="31">
        <f>SUM(H7:H26)</f>
        <v/>
      </c>
    </row>
    <row r="29" ht="20" customHeight="1">
      <c r="B29" s="4" t="inlineStr">
        <is>
          <t>Notes:</t>
        </is>
      </c>
    </row>
    <row r="30">
      <c r="B30" s="13" t="inlineStr">
        <is>
          <t>• Enter your sales invoices in the rows above. Replace the example data with your own figures.</t>
        </is>
      </c>
    </row>
    <row r="31">
      <c r="B31" s="13" t="inlineStr">
        <is>
          <t>• Net Amount is the amount BEFORE VAT. VAT @ 20% and Gross Amount are calculated automatically.</t>
        </is>
      </c>
    </row>
    <row r="32">
      <c r="B32" s="13" t="inlineStr">
        <is>
          <t>• Delete any unused rows before submitting your VAT return. Do not delete the TOTALS row.</t>
        </is>
      </c>
    </row>
  </sheetData>
  <mergeCells count="6">
    <mergeCell ref="B27:E27"/>
    <mergeCell ref="B32:H32"/>
    <mergeCell ref="B30:H30"/>
    <mergeCell ref="B2:H2"/>
    <mergeCell ref="B3:H3"/>
    <mergeCell ref="B31:H3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I31"/>
  <sheetViews>
    <sheetView showGridLines="0" workbookViewId="0">
      <selection activeCell="A1" sqref="A1"/>
    </sheetView>
  </sheetViews>
  <sheetFormatPr baseColWidth="8" defaultRowHeight="15" outlineLevelCol="0"/>
  <cols>
    <col width="3" customWidth="1" min="1" max="1"/>
    <col width="14" customWidth="1" min="2" max="2"/>
    <col width="14" customWidth="1" min="3" max="3"/>
    <col width="26" customWidth="1" min="4" max="4"/>
    <col width="28" customWidth="1" min="5" max="5"/>
    <col width="16" customWidth="1" min="6" max="6"/>
    <col width="14" customWidth="1" min="7" max="7"/>
    <col width="16" customWidth="1" min="8" max="8"/>
    <col width="14" customWidth="1" min="9" max="9"/>
  </cols>
  <sheetData>
    <row r="2" ht="35" customHeight="1">
      <c r="B2" s="1" t="inlineStr">
        <is>
          <t>PURCHASE INVOICES</t>
        </is>
      </c>
    </row>
    <row r="3" ht="22" customHeight="1">
      <c r="B3" s="14" t="inlineStr">
        <is>
          <t>Enter all purchase invoices with reclaimable VAT for the quarter</t>
        </is>
      </c>
    </row>
    <row r="4" ht="5" customHeight="1">
      <c r="B4" s="3" t="n"/>
      <c r="C4" s="3" t="n"/>
      <c r="D4" s="3" t="n"/>
      <c r="E4" s="3" t="n"/>
      <c r="F4" s="3" t="n"/>
      <c r="G4" s="3" t="n"/>
      <c r="H4" s="3" t="n"/>
      <c r="I4" s="3" t="n"/>
    </row>
    <row r="6" ht="28" customHeight="1">
      <c r="B6" s="15" t="inlineStr">
        <is>
          <t>Date</t>
        </is>
      </c>
      <c r="C6" s="15" t="inlineStr">
        <is>
          <t>Invoice No</t>
        </is>
      </c>
      <c r="D6" s="16" t="inlineStr">
        <is>
          <t>Supplier</t>
        </is>
      </c>
      <c r="E6" s="16" t="inlineStr">
        <is>
          <t>Description</t>
        </is>
      </c>
      <c r="F6" s="15" t="inlineStr">
        <is>
          <t>Net Amount</t>
        </is>
      </c>
      <c r="G6" s="15" t="inlineStr">
        <is>
          <t>VAT @ 20%</t>
        </is>
      </c>
      <c r="H6" s="15" t="inlineStr">
        <is>
          <t>Gross Amount</t>
        </is>
      </c>
      <c r="I6" s="15" t="inlineStr">
        <is>
          <t>Reclaim?</t>
        </is>
      </c>
    </row>
    <row r="7" ht="22" customHeight="1">
      <c r="B7" s="17" t="n">
        <v>46030</v>
      </c>
      <c r="C7" s="18" t="inlineStr">
        <is>
          <t>SUP-0451</t>
        </is>
      </c>
      <c r="D7" s="19" t="inlineStr">
        <is>
          <t>Office Supplies Co</t>
        </is>
      </c>
      <c r="E7" s="19" t="inlineStr">
        <is>
          <t>Stationery &amp; Envelopes</t>
        </is>
      </c>
      <c r="F7" s="20" t="n">
        <v>85.5</v>
      </c>
      <c r="G7" s="21">
        <f>F7*0.2</f>
        <v/>
      </c>
      <c r="H7" s="21">
        <f>F7+G7</f>
        <v/>
      </c>
      <c r="I7" s="32" t="inlineStr">
        <is>
          <t>Y</t>
        </is>
      </c>
    </row>
    <row r="8" ht="22" customHeight="1">
      <c r="B8" s="22" t="n">
        <v>46037</v>
      </c>
      <c r="C8" s="23" t="inlineStr">
        <is>
          <t>SUP-0452</t>
        </is>
      </c>
      <c r="D8" s="24" t="inlineStr">
        <is>
          <t>Vodafone Business</t>
        </is>
      </c>
      <c r="E8" s="24" t="inlineStr">
        <is>
          <t>Phone &amp; Broadband</t>
        </is>
      </c>
      <c r="F8" s="25" t="n">
        <v>120</v>
      </c>
      <c r="G8" s="26">
        <f>F8*0.2</f>
        <v/>
      </c>
      <c r="H8" s="26">
        <f>F8+G8</f>
        <v/>
      </c>
      <c r="I8" s="33" t="inlineStr">
        <is>
          <t>Y</t>
        </is>
      </c>
    </row>
    <row r="9" ht="22" customHeight="1">
      <c r="B9" s="17" t="n">
        <v>46044</v>
      </c>
      <c r="C9" s="18" t="inlineStr">
        <is>
          <t>SUP-0453</t>
        </is>
      </c>
      <c r="D9" s="19" t="inlineStr">
        <is>
          <t>Amazon Business</t>
        </is>
      </c>
      <c r="E9" s="19" t="inlineStr">
        <is>
          <t>Laptop Computer</t>
        </is>
      </c>
      <c r="F9" s="20" t="n">
        <v>899</v>
      </c>
      <c r="G9" s="21">
        <f>F9*0.2</f>
        <v/>
      </c>
      <c r="H9" s="21">
        <f>F9+G9</f>
        <v/>
      </c>
      <c r="I9" s="32" t="inlineStr">
        <is>
          <t>Y</t>
        </is>
      </c>
    </row>
    <row r="10" ht="22" customHeight="1">
      <c r="B10" s="22" t="n">
        <v>46058</v>
      </c>
      <c r="C10" s="23" t="inlineStr">
        <is>
          <t>SUP-0454</t>
        </is>
      </c>
      <c r="D10" s="24" t="inlineStr">
        <is>
          <t>British Gas Business</t>
        </is>
      </c>
      <c r="E10" s="24" t="inlineStr">
        <is>
          <t>Electricity &amp; Gas</t>
        </is>
      </c>
      <c r="F10" s="25" t="n">
        <v>245</v>
      </c>
      <c r="G10" s="26">
        <f>F10*0.2</f>
        <v/>
      </c>
      <c r="H10" s="26">
        <f>F10+G10</f>
        <v/>
      </c>
      <c r="I10" s="33" t="inlineStr">
        <is>
          <t>Y</t>
        </is>
      </c>
    </row>
    <row r="11" ht="22" customHeight="1">
      <c r="B11" s="17" t="n">
        <v>46067</v>
      </c>
      <c r="C11" s="18" t="inlineStr">
        <is>
          <t>SUP-0455</t>
        </is>
      </c>
      <c r="D11" s="19" t="inlineStr">
        <is>
          <t>Smith &amp; Associates</t>
        </is>
      </c>
      <c r="E11" s="19" t="inlineStr">
        <is>
          <t>Accountancy Services</t>
        </is>
      </c>
      <c r="F11" s="20" t="n">
        <v>350</v>
      </c>
      <c r="G11" s="21">
        <f>F11*0.2</f>
        <v/>
      </c>
      <c r="H11" s="21">
        <f>F11+G11</f>
        <v/>
      </c>
      <c r="I11" s="32" t="inlineStr">
        <is>
          <t>Y</t>
        </is>
      </c>
    </row>
    <row r="12" ht="22" customHeight="1">
      <c r="B12" s="22" t="n">
        <v>46083</v>
      </c>
      <c r="C12" s="23" t="inlineStr">
        <is>
          <t>SUP-0456</t>
        </is>
      </c>
      <c r="D12" s="24" t="inlineStr">
        <is>
          <t>WeWork</t>
        </is>
      </c>
      <c r="E12" s="24" t="inlineStr">
        <is>
          <t>Office Space Rental</t>
        </is>
      </c>
      <c r="F12" s="25" t="n">
        <v>280</v>
      </c>
      <c r="G12" s="26">
        <f>F12*0.2</f>
        <v/>
      </c>
      <c r="H12" s="26">
        <f>F12+G12</f>
        <v/>
      </c>
      <c r="I12" s="33" t="inlineStr">
        <is>
          <t>Y</t>
        </is>
      </c>
    </row>
    <row r="13" ht="22" customHeight="1">
      <c r="B13" s="27" t="n"/>
      <c r="C13" s="27" t="n"/>
      <c r="D13" s="27" t="n"/>
      <c r="E13" s="27" t="n"/>
      <c r="F13" s="27" t="n"/>
      <c r="G13" s="27" t="n"/>
      <c r="H13" s="27" t="n"/>
      <c r="I13" s="27" t="n"/>
    </row>
    <row r="14" ht="22" customHeight="1">
      <c r="B14" s="28" t="n"/>
      <c r="C14" s="28" t="n"/>
      <c r="D14" s="28" t="n"/>
      <c r="E14" s="28" t="n"/>
      <c r="F14" s="28" t="n"/>
      <c r="G14" s="28" t="n"/>
      <c r="H14" s="28" t="n"/>
      <c r="I14" s="28" t="n"/>
    </row>
    <row r="15" ht="22" customHeight="1">
      <c r="B15" s="27" t="n"/>
      <c r="C15" s="27" t="n"/>
      <c r="D15" s="27" t="n"/>
      <c r="E15" s="27" t="n"/>
      <c r="F15" s="27" t="n"/>
      <c r="G15" s="27" t="n"/>
      <c r="H15" s="27" t="n"/>
      <c r="I15" s="27" t="n"/>
    </row>
    <row r="16" ht="22" customHeight="1">
      <c r="B16" s="28" t="n"/>
      <c r="C16" s="28" t="n"/>
      <c r="D16" s="28" t="n"/>
      <c r="E16" s="28" t="n"/>
      <c r="F16" s="28" t="n"/>
      <c r="G16" s="28" t="n"/>
      <c r="H16" s="28" t="n"/>
      <c r="I16" s="28" t="n"/>
    </row>
    <row r="17" ht="22" customHeight="1">
      <c r="B17" s="27" t="n"/>
      <c r="C17" s="27" t="n"/>
      <c r="D17" s="27" t="n"/>
      <c r="E17" s="27" t="n"/>
      <c r="F17" s="27" t="n"/>
      <c r="G17" s="27" t="n"/>
      <c r="H17" s="27" t="n"/>
      <c r="I17" s="27" t="n"/>
    </row>
    <row r="18" ht="22" customHeight="1">
      <c r="B18" s="28" t="n"/>
      <c r="C18" s="28" t="n"/>
      <c r="D18" s="28" t="n"/>
      <c r="E18" s="28" t="n"/>
      <c r="F18" s="28" t="n"/>
      <c r="G18" s="28" t="n"/>
      <c r="H18" s="28" t="n"/>
      <c r="I18" s="28" t="n"/>
    </row>
    <row r="19" ht="22" customHeight="1">
      <c r="B19" s="27" t="n"/>
      <c r="C19" s="27" t="n"/>
      <c r="D19" s="27" t="n"/>
      <c r="E19" s="27" t="n"/>
      <c r="F19" s="27" t="n"/>
      <c r="G19" s="27" t="n"/>
      <c r="H19" s="27" t="n"/>
      <c r="I19" s="27" t="n"/>
    </row>
    <row r="20" ht="22" customHeight="1">
      <c r="B20" s="28" t="n"/>
      <c r="C20" s="28" t="n"/>
      <c r="D20" s="28" t="n"/>
      <c r="E20" s="28" t="n"/>
      <c r="F20" s="28" t="n"/>
      <c r="G20" s="28" t="n"/>
      <c r="H20" s="28" t="n"/>
      <c r="I20" s="28" t="n"/>
    </row>
    <row r="21" ht="22" customHeight="1">
      <c r="B21" s="27" t="n"/>
      <c r="C21" s="27" t="n"/>
      <c r="D21" s="27" t="n"/>
      <c r="E21" s="27" t="n"/>
      <c r="F21" s="27" t="n"/>
      <c r="G21" s="27" t="n"/>
      <c r="H21" s="27" t="n"/>
      <c r="I21" s="27" t="n"/>
    </row>
    <row r="22" ht="22" customHeight="1">
      <c r="B22" s="28" t="n"/>
      <c r="C22" s="28" t="n"/>
      <c r="D22" s="28" t="n"/>
      <c r="E22" s="28" t="n"/>
      <c r="F22" s="28" t="n"/>
      <c r="G22" s="28" t="n"/>
      <c r="H22" s="28" t="n"/>
      <c r="I22" s="28" t="n"/>
    </row>
    <row r="23" ht="22" customHeight="1">
      <c r="B23" s="27" t="n"/>
      <c r="C23" s="27" t="n"/>
      <c r="D23" s="27" t="n"/>
      <c r="E23" s="27" t="n"/>
      <c r="F23" s="27" t="n"/>
      <c r="G23" s="27" t="n"/>
      <c r="H23" s="27" t="n"/>
      <c r="I23" s="27" t="n"/>
    </row>
    <row r="24" ht="22" customHeight="1">
      <c r="B24" s="28" t="n"/>
      <c r="C24" s="28" t="n"/>
      <c r="D24" s="28" t="n"/>
      <c r="E24" s="28" t="n"/>
      <c r="F24" s="28" t="n"/>
      <c r="G24" s="28" t="n"/>
      <c r="H24" s="28" t="n"/>
      <c r="I24" s="28" t="n"/>
    </row>
    <row r="25" ht="22" customHeight="1">
      <c r="B25" s="27" t="n"/>
      <c r="C25" s="27" t="n"/>
      <c r="D25" s="27" t="n"/>
      <c r="E25" s="27" t="n"/>
      <c r="F25" s="27" t="n"/>
      <c r="G25" s="27" t="n"/>
      <c r="H25" s="27" t="n"/>
      <c r="I25" s="27" t="n"/>
    </row>
    <row r="26" ht="22" customHeight="1">
      <c r="B26" s="28" t="n"/>
      <c r="C26" s="28" t="n"/>
      <c r="D26" s="28" t="n"/>
      <c r="E26" s="28" t="n"/>
      <c r="F26" s="28" t="n"/>
      <c r="G26" s="28" t="n"/>
      <c r="H26" s="28" t="n"/>
      <c r="I26" s="28" t="n"/>
    </row>
    <row r="27" ht="28" customHeight="1">
      <c r="B27" s="29" t="inlineStr">
        <is>
          <t>TOTAL PURCHASES</t>
        </is>
      </c>
      <c r="C27" s="30" t="n"/>
      <c r="D27" s="30" t="n"/>
      <c r="E27" s="30" t="n"/>
      <c r="F27" s="31">
        <f>SUM(F7:F26)</f>
        <v/>
      </c>
      <c r="G27" s="31">
        <f>SUM(G7:G26)</f>
        <v/>
      </c>
      <c r="H27" s="31">
        <f>SUM(H7:H26)</f>
        <v/>
      </c>
      <c r="I27" s="30" t="inlineStr"/>
    </row>
    <row r="29" ht="20" customHeight="1">
      <c r="B29" s="4" t="inlineStr">
        <is>
          <t>Notes:</t>
        </is>
      </c>
    </row>
    <row r="30">
      <c r="B30" s="13" t="inlineStr">
        <is>
          <t>• Enter purchase invoices above. Set 'Reclaim?' to N for non-reclaimable VAT (e.g., entertaining, cars).</t>
        </is>
      </c>
    </row>
    <row r="31">
      <c r="B31" s="13" t="inlineStr">
        <is>
          <t>• You must hold a valid VAT invoice to reclaim VAT. Simplified receipts under £250 are acceptable.</t>
        </is>
      </c>
    </row>
  </sheetData>
  <mergeCells count="5">
    <mergeCell ref="B27:E27"/>
    <mergeCell ref="B30:I30"/>
    <mergeCell ref="B2:I2"/>
    <mergeCell ref="B3:I3"/>
    <mergeCell ref="B31:I3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G42"/>
  <sheetViews>
    <sheetView showGridLines="0" workbookViewId="0">
      <selection activeCell="A1" sqref="A1"/>
    </sheetView>
  </sheetViews>
  <sheetFormatPr baseColWidth="8" defaultRowHeight="15" outlineLevelCol="0"/>
  <cols>
    <col width="3" customWidth="1" min="1" max="1"/>
    <col width="16" customWidth="1" min="2" max="2"/>
    <col width="40" customWidth="1" min="3" max="3"/>
    <col width="22" customWidth="1" min="4" max="4"/>
    <col width="3" customWidth="1" min="5" max="5"/>
  </cols>
  <sheetData>
    <row r="2" ht="35" customHeight="1">
      <c r="B2" s="1" t="inlineStr">
        <is>
          <t>HMRC VAT RETURN</t>
        </is>
      </c>
    </row>
    <row r="3" ht="22" customHeight="1">
      <c r="B3" s="14" t="inlineStr">
        <is>
          <t>All 9 boxes auto-calculated from your Sales and Purchases</t>
        </is>
      </c>
    </row>
    <row r="4" ht="5" customHeight="1">
      <c r="B4" s="3" t="n"/>
      <c r="C4" s="3" t="n"/>
      <c r="D4" s="3" t="n"/>
    </row>
    <row r="6" ht="25" customHeight="1">
      <c r="B6" s="7" t="inlineStr">
        <is>
          <t>COMPANY INFORMATION</t>
        </is>
      </c>
      <c r="F6" s="4" t="n"/>
      <c r="G6" s="4" t="n"/>
    </row>
    <row r="7" ht="22" customHeight="1">
      <c r="B7" s="8" t="inlineStr">
        <is>
          <t>Business Name:</t>
        </is>
      </c>
      <c r="C7" s="34" t="inlineStr">
        <is>
          <t>[Enter your business name]</t>
        </is>
      </c>
      <c r="D7" s="10" t="n"/>
      <c r="F7" s="6" t="n"/>
      <c r="G7" s="65" t="n"/>
    </row>
    <row r="8" ht="22" customHeight="1">
      <c r="B8" s="4" t="inlineStr">
        <is>
          <t>VAT Reg Number:</t>
        </is>
      </c>
      <c r="C8" s="5" t="inlineStr">
        <is>
          <t>[GBXXXXXXXXX]</t>
        </is>
      </c>
      <c r="F8" s="6" t="n"/>
      <c r="G8" s="65" t="n"/>
    </row>
    <row r="9" ht="22" customHeight="1">
      <c r="B9" s="8" t="inlineStr">
        <is>
          <t>VAT Quarter:</t>
        </is>
      </c>
      <c r="C9" s="34" t="inlineStr">
        <is>
          <t>[Q1 2026 - Jan to Mar 2026]</t>
        </is>
      </c>
      <c r="D9" s="10" t="n"/>
    </row>
    <row r="10" ht="22" customHeight="1">
      <c r="B10" s="4" t="inlineStr">
        <is>
          <t>VAT Scheme:</t>
        </is>
      </c>
      <c r="C10" s="6" t="inlineStr">
        <is>
          <t>Standard Accounting (20%)</t>
        </is>
      </c>
    </row>
    <row r="12" ht="28" customHeight="1">
      <c r="B12" s="35" t="inlineStr">
        <is>
          <t>OUTPUT TAX  —  VAT you owe on sales</t>
        </is>
      </c>
      <c r="C12" s="36" t="n"/>
      <c r="D12" s="36" t="n"/>
    </row>
    <row r="13" ht="18" customHeight="1">
      <c r="B13" s="37" t="inlineStr">
        <is>
          <t>BOX 1</t>
        </is>
      </c>
      <c r="C13" s="13" t="inlineStr">
        <is>
          <t>VAT due on sales and other outputs</t>
        </is>
      </c>
    </row>
    <row r="14" ht="30" customHeight="1">
      <c r="D14" s="38">
        <f>Sales!G27</f>
        <v/>
      </c>
    </row>
    <row r="15" ht="18" customHeight="1">
      <c r="B15" s="37" t="inlineStr">
        <is>
          <t>BOX 2</t>
        </is>
      </c>
      <c r="C15" s="13" t="inlineStr">
        <is>
          <t>VAT due on acquisitions from other EU countries</t>
        </is>
      </c>
    </row>
    <row r="16" ht="30" customHeight="1">
      <c r="D16" s="39" t="n">
        <v>0</v>
      </c>
    </row>
    <row r="17" ht="18" customHeight="1">
      <c r="B17" s="40" t="inlineStr">
        <is>
          <t>BOX 3</t>
        </is>
      </c>
      <c r="C17" s="4" t="inlineStr">
        <is>
          <t>Total VAT due (Box 1 + Box 2)</t>
        </is>
      </c>
    </row>
    <row r="18" ht="32" customHeight="1">
      <c r="D18" s="41">
        <f>D14+D16</f>
        <v/>
      </c>
    </row>
    <row r="20" ht="28" customHeight="1">
      <c r="B20" s="42" t="inlineStr">
        <is>
          <t>INPUT TAX  —  VAT you can reclaim</t>
        </is>
      </c>
      <c r="C20" s="3" t="n"/>
      <c r="D20" s="3" t="n"/>
    </row>
    <row r="21" ht="18" customHeight="1">
      <c r="B21" s="37" t="inlineStr">
        <is>
          <t>BOX 4</t>
        </is>
      </c>
      <c r="C21" s="13" t="inlineStr">
        <is>
          <t>VAT reclaimed on purchases and other inputs</t>
        </is>
      </c>
    </row>
    <row r="22" ht="30" customHeight="1">
      <c r="D22" s="38">
        <f>Purchases!G27</f>
        <v/>
      </c>
    </row>
    <row r="24" ht="18" customHeight="1">
      <c r="B24" s="40" t="inlineStr">
        <is>
          <t>BOX 5</t>
        </is>
      </c>
      <c r="C24" s="4" t="inlineStr">
        <is>
          <t>NET VAT to pay or reclaim (Box 3 minus Box 4)</t>
        </is>
      </c>
    </row>
    <row r="25" ht="38" customHeight="1">
      <c r="B25" s="43">
        <f>D18-D22</f>
        <v/>
      </c>
    </row>
    <row r="26" ht="18" customHeight="1">
      <c r="B26" s="44">
        <f>IF(D18&gt;D22,"You owe HMRC this amount","HMRC owes you this amount")</f>
        <v/>
      </c>
    </row>
    <row r="28" ht="28" customHeight="1">
      <c r="B28" s="35" t="inlineStr">
        <is>
          <t>TOTAL VALUES  —  Excluding VAT</t>
        </is>
      </c>
      <c r="C28" s="36" t="n"/>
      <c r="D28" s="36" t="n"/>
    </row>
    <row r="29" ht="20" customHeight="1">
      <c r="B29" s="37" t="inlineStr">
        <is>
          <t>BOX 6</t>
        </is>
      </c>
      <c r="C29" s="13" t="inlineStr">
        <is>
          <t>Total value of sales and all other outputs (excl. VAT)</t>
        </is>
      </c>
      <c r="D29" s="45">
        <f>Sales!F27</f>
        <v/>
      </c>
    </row>
    <row r="30" ht="20" customHeight="1">
      <c r="B30" s="37" t="inlineStr">
        <is>
          <t>BOX 7</t>
        </is>
      </c>
      <c r="C30" s="13" t="inlineStr">
        <is>
          <t>Total value of purchases and all other inputs (excl. VAT)</t>
        </is>
      </c>
      <c r="D30" s="45">
        <f>Purchases!F27</f>
        <v/>
      </c>
    </row>
    <row r="31" ht="20" customHeight="1">
      <c r="B31" s="37" t="inlineStr">
        <is>
          <t>BOX 8</t>
        </is>
      </c>
      <c r="C31" s="13" t="inlineStr">
        <is>
          <t>Total value of EU sales (excl. VAT)</t>
        </is>
      </c>
      <c r="D31" s="46" t="n">
        <v>0</v>
      </c>
    </row>
    <row r="32" ht="20" customHeight="1">
      <c r="B32" s="37" t="inlineStr">
        <is>
          <t>BOX 9</t>
        </is>
      </c>
      <c r="C32" s="13" t="inlineStr">
        <is>
          <t>Total value of EU purchases (excl. VAT)</t>
        </is>
      </c>
      <c r="D32" s="46" t="n">
        <v>0</v>
      </c>
    </row>
    <row r="34" ht="28" customHeight="1">
      <c r="B34" s="7" t="inlineStr">
        <is>
          <t>PAYMENT SUMMARY</t>
        </is>
      </c>
    </row>
    <row r="35" ht="22" customHeight="1">
      <c r="B35" s="4" t="inlineStr">
        <is>
          <t>VAT Amount:</t>
        </is>
      </c>
      <c r="D35" s="47">
        <f>B25</f>
        <v/>
      </c>
    </row>
    <row r="36" ht="22" customHeight="1">
      <c r="B36" s="4" t="inlineStr">
        <is>
          <t>Payment Deadline:</t>
        </is>
      </c>
      <c r="D36" s="48" t="inlineStr">
        <is>
          <t>7 May 2026</t>
        </is>
      </c>
    </row>
    <row r="37" ht="22" customHeight="1">
      <c r="B37" s="4" t="inlineStr">
        <is>
          <t>Submit online at:</t>
        </is>
      </c>
      <c r="D37" s="49" t="inlineStr">
        <is>
          <t>gov.uk/vat-returns</t>
        </is>
      </c>
    </row>
    <row r="39" ht="22" customHeight="1">
      <c r="B39" s="50" t="inlineStr">
        <is>
          <t>DECLARATION</t>
        </is>
      </c>
      <c r="C39" s="10" t="n"/>
      <c r="D39" s="10" t="n"/>
    </row>
    <row r="40" ht="20" customHeight="1">
      <c r="B40" s="51" t="inlineStr">
        <is>
          <t>I confirm that the information given above is true and complete.</t>
        </is>
      </c>
      <c r="C40" s="10" t="n"/>
      <c r="D40" s="10" t="n"/>
    </row>
    <row r="41" ht="30" customHeight="1">
      <c r="B41" s="8" t="inlineStr">
        <is>
          <t>Signed:</t>
        </is>
      </c>
      <c r="C41" s="9" t="inlineStr">
        <is>
          <t>_______________________________</t>
        </is>
      </c>
      <c r="D41" s="10" t="n"/>
    </row>
    <row r="42" ht="30" customHeight="1">
      <c r="B42" s="8" t="inlineStr">
        <is>
          <t>Date:</t>
        </is>
      </c>
      <c r="C42" s="9" t="inlineStr">
        <is>
          <t>_______________________________</t>
        </is>
      </c>
      <c r="D42" s="10" t="n"/>
    </row>
  </sheetData>
  <mergeCells count="11">
    <mergeCell ref="B28:D28"/>
    <mergeCell ref="B3:D3"/>
    <mergeCell ref="C24:D24"/>
    <mergeCell ref="B34:D34"/>
    <mergeCell ref="B26:D26"/>
    <mergeCell ref="B40:D40"/>
    <mergeCell ref="B12:D12"/>
    <mergeCell ref="B39:D39"/>
    <mergeCell ref="B25:D25"/>
    <mergeCell ref="B2:D2"/>
    <mergeCell ref="B20:D2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C25"/>
  <sheetViews>
    <sheetView showGridLines="0" workbookViewId="0">
      <selection activeCell="A1" sqref="A1"/>
    </sheetView>
  </sheetViews>
  <sheetFormatPr baseColWidth="8" defaultRowHeight="15" outlineLevelCol="0"/>
  <cols>
    <col width="3" customWidth="1" min="1" max="1"/>
    <col width="42" customWidth="1" min="2" max="2"/>
    <col width="20" customWidth="1" min="3" max="3"/>
    <col width="3" customWidth="1" min="4" max="4"/>
  </cols>
  <sheetData>
    <row r="2" ht="35" customHeight="1">
      <c r="B2" s="52" t="inlineStr">
        <is>
          <t>FLAT RATE SCHEME COMPARISON</t>
        </is>
      </c>
    </row>
    <row r="3" ht="22" customHeight="1">
      <c r="B3" s="14" t="inlineStr">
        <is>
          <t>See whether the Flat Rate Scheme saves you money</t>
        </is>
      </c>
    </row>
    <row r="4" ht="5" customHeight="1">
      <c r="B4" s="3" t="n"/>
      <c r="C4" s="3" t="n"/>
    </row>
    <row r="6" ht="25" customHeight="1">
      <c r="B6" s="7" t="inlineStr">
        <is>
          <t>STANDARD VAT SCHEME</t>
        </is>
      </c>
    </row>
    <row r="7" ht="24" customHeight="1">
      <c r="B7" s="6" t="inlineStr">
        <is>
          <t>VAT on Sales (from VAT Return Box 1)</t>
        </is>
      </c>
      <c r="C7" s="53">
        <f>'VAT Return'!D14</f>
        <v/>
      </c>
    </row>
    <row r="8" ht="24" customHeight="1">
      <c r="B8" s="6" t="inlineStr">
        <is>
          <t>VAT on Purchases (from VAT Return Box 4)</t>
        </is>
      </c>
      <c r="C8" s="53">
        <f>'VAT Return'!D22</f>
        <v/>
      </c>
    </row>
    <row r="9" ht="24" customHeight="1">
      <c r="B9" s="4" t="inlineStr">
        <is>
          <t>NET VAT Payable under Standard Scheme</t>
        </is>
      </c>
      <c r="C9" s="54">
        <f>'VAT Return'!B25</f>
        <v/>
      </c>
    </row>
    <row r="11" ht="25" customHeight="1">
      <c r="B11" s="7" t="inlineStr">
        <is>
          <t>FLAT RATE SCHEME</t>
        </is>
      </c>
    </row>
    <row r="12" ht="22" customHeight="1">
      <c r="B12" s="6" t="inlineStr">
        <is>
          <t>Your Flat Rate % (check your sector at gov.uk)</t>
        </is>
      </c>
      <c r="C12" s="55" t="n">
        <v>13.5</v>
      </c>
    </row>
    <row r="13" ht="22" customHeight="1">
      <c r="B13" s="6" t="inlineStr">
        <is>
          <t>Total VAT-inclusive turnover</t>
        </is>
      </c>
      <c r="C13" s="53">
        <f>Sales!H27</f>
        <v/>
      </c>
    </row>
    <row r="14" ht="22" customHeight="1">
      <c r="B14" s="4" t="inlineStr">
        <is>
          <t>VAT PAYABLE under Flat Rate</t>
        </is>
      </c>
      <c r="C14" s="56">
        <f>C13*(C12/100)</f>
        <v/>
      </c>
    </row>
    <row r="16" ht="25" customHeight="1">
      <c r="B16" s="7" t="inlineStr">
        <is>
          <t>COMPARISON</t>
        </is>
      </c>
    </row>
    <row r="17" ht="22" customHeight="1">
      <c r="B17" s="6" t="inlineStr">
        <is>
          <t>Standard Scheme VAT payable</t>
        </is>
      </c>
      <c r="C17" s="53">
        <f>C9</f>
        <v/>
      </c>
    </row>
    <row r="18" ht="22" customHeight="1">
      <c r="B18" s="6" t="inlineStr">
        <is>
          <t>Flat Rate VAT payable</t>
        </is>
      </c>
      <c r="C18" s="53">
        <f>C14</f>
        <v/>
      </c>
    </row>
    <row r="19" ht="30" customHeight="1">
      <c r="B19" s="4" t="inlineStr">
        <is>
          <t>SAVING with Flat Rate</t>
        </is>
      </c>
      <c r="C19" s="57">
        <f>C17-C18</f>
        <v/>
      </c>
    </row>
    <row r="20" ht="18" customHeight="1">
      <c r="B20" s="44">
        <f>IF(C19&gt;0,"Flat Rate is cheaper by this amount","Standard scheme is cheaper")</f>
        <v/>
      </c>
    </row>
    <row r="22" ht="20" customHeight="1">
      <c r="B22" s="4" t="inlineStr">
        <is>
          <t>Notes:</t>
        </is>
      </c>
    </row>
    <row r="23">
      <c r="B23" s="13" t="inlineStr">
        <is>
          <t>• Under Flat Rate, you cannot reclaim VAT on purchases (except capital assets &gt;£2,000)</t>
        </is>
      </c>
    </row>
    <row r="24">
      <c r="B24" s="13" t="inlineStr">
        <is>
          <t>• You must leave the Flat Rate Scheme if your turnover exceeds £230,000</t>
        </is>
      </c>
    </row>
    <row r="25">
      <c r="B25" s="13" t="inlineStr">
        <is>
          <t>• Common rates: IT consultancy 14.5%, retail 7.5%, hospitality 12.5%</t>
        </is>
      </c>
    </row>
  </sheetData>
  <mergeCells count="6">
    <mergeCell ref="B24:C24"/>
    <mergeCell ref="B2:C2"/>
    <mergeCell ref="B25:C25"/>
    <mergeCell ref="B3:C3"/>
    <mergeCell ref="B20:C20"/>
    <mergeCell ref="B23:C2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D29"/>
  <sheetViews>
    <sheetView showGridLines="0" workbookViewId="0">
      <selection activeCell="A1" sqref="A1"/>
    </sheetView>
  </sheetViews>
  <sheetFormatPr baseColWidth="8" defaultRowHeight="15" outlineLevelCol="0"/>
  <cols>
    <col width="3" customWidth="1" min="1" max="1"/>
    <col width="45" customWidth="1" min="2" max="2"/>
    <col width="20" customWidth="1" min="3" max="3"/>
    <col width="30" customWidth="1" min="4" max="4"/>
    <col width="3" customWidth="1" min="5" max="5"/>
  </cols>
  <sheetData>
    <row r="2" ht="35" customHeight="1">
      <c r="B2" s="52" t="inlineStr">
        <is>
          <t>AUDIT CHECK &amp; VALIDATION</t>
        </is>
      </c>
    </row>
    <row r="3" ht="22" customHeight="1">
      <c r="B3" s="14" t="inlineStr">
        <is>
          <t>Automatic checks to ensure your VAT Return is accurate</t>
        </is>
      </c>
    </row>
    <row r="4" ht="5" customHeight="1">
      <c r="B4" s="3" t="n"/>
      <c r="C4" s="3" t="n"/>
      <c r="D4" s="3" t="n"/>
    </row>
    <row r="6" ht="25" customHeight="1">
      <c r="B6" s="58" t="inlineStr">
        <is>
          <t>Check</t>
        </is>
      </c>
      <c r="C6" s="59" t="inlineStr">
        <is>
          <t>Expected</t>
        </is>
      </c>
      <c r="D6" s="59" t="inlineStr">
        <is>
          <t>Status</t>
        </is>
      </c>
    </row>
    <row r="7" ht="22" customHeight="1">
      <c r="B7" s="9" t="inlineStr">
        <is>
          <t>Sales VAT = 20% of Sales Net</t>
        </is>
      </c>
      <c r="C7" s="60">
        <f>'VAT Return'!D14='Sales'!G27</f>
        <v/>
      </c>
      <c r="D7" s="18">
        <f>IF(ABS(C7)&lt;0.01,"PASS","CHECK")</f>
        <v/>
      </c>
    </row>
    <row r="8" ht="22" customHeight="1">
      <c r="B8" s="6" t="inlineStr">
        <is>
          <t>Purchases VAT = 20% of Purchases Net</t>
        </is>
      </c>
      <c r="C8" s="61">
        <f>'VAT Return'!D22='Purchases'!G27</f>
        <v/>
      </c>
      <c r="D8" s="23">
        <f>IF(ABS(C8)&lt;0.01,"PASS","CHECK")</f>
        <v/>
      </c>
    </row>
    <row r="9" ht="22" customHeight="1">
      <c r="B9" s="9" t="inlineStr">
        <is>
          <t>Box 3 = Box 1 + Box 2</t>
        </is>
      </c>
      <c r="C9" s="60">
        <f>'VAT Return'!D18='VAT Return'!D14+'VAT Return'!D16</f>
        <v/>
      </c>
      <c r="D9" s="18">
        <f>IF(ABS(C9)&lt;0.01,"PASS","CHECK")</f>
        <v/>
      </c>
    </row>
    <row r="10" ht="22" customHeight="1">
      <c r="B10" s="6" t="inlineStr">
        <is>
          <t>Box 5 = Box 3 - Box 4</t>
        </is>
      </c>
      <c r="C10" s="61">
        <f>'VAT Return'!B25='VAT Return'!D18-'VAT Return'!D22</f>
        <v/>
      </c>
      <c r="D10" s="23">
        <f>IF(ABS(C10)&lt;0.01,"PASS","CHECK")</f>
        <v/>
      </c>
    </row>
    <row r="11" ht="22" customHeight="1">
      <c r="B11" s="9" t="inlineStr">
        <is>
          <t>Sales Gross = Net + VAT</t>
        </is>
      </c>
      <c r="C11" s="60">
        <f>'Sales'!H27='Sales'!F27+'Sales'!G27</f>
        <v/>
      </c>
      <c r="D11" s="18">
        <f>IF(ABS(C11)&lt;0.01,"PASS","CHECK")</f>
        <v/>
      </c>
    </row>
    <row r="12" ht="22" customHeight="1">
      <c r="B12" s="6" t="inlineStr">
        <is>
          <t>Purchases Gross = Net + VAT</t>
        </is>
      </c>
      <c r="C12" s="61">
        <f>'Purchases'!H27='Purchases'!F27+'Purchases'!G27</f>
        <v/>
      </c>
      <c r="D12" s="23">
        <f>IF(ABS(C12)&lt;0.01,"PASS","CHECK")</f>
        <v/>
      </c>
    </row>
    <row r="13" ht="22" customHeight="1">
      <c r="B13" s="9" t="inlineStr">
        <is>
          <t>Box 6 = Total Sales (ex VAT)</t>
        </is>
      </c>
      <c r="C13" s="60">
        <f>'VAT Return'!D29='Sales'!F27</f>
        <v/>
      </c>
      <c r="D13" s="18">
        <f>IF(ABS(C13)&lt;0.01,"PASS","CHECK")</f>
        <v/>
      </c>
    </row>
    <row r="14" ht="22" customHeight="1">
      <c r="B14" s="6" t="inlineStr">
        <is>
          <t>Box 7 = Total Purchases (ex VAT)</t>
        </is>
      </c>
      <c r="C14" s="61">
        <f>'VAT Return'!D30='Purchases'!F27</f>
        <v/>
      </c>
      <c r="D14" s="23">
        <f>IF(ABS(C14)&lt;0.01,"PASS","CHECK")</f>
        <v/>
      </c>
    </row>
    <row r="16" ht="28" customHeight="1">
      <c r="B16" s="7" t="inlineStr">
        <is>
          <t>ALL CHECKS</t>
        </is>
      </c>
    </row>
    <row r="17" ht="25" customHeight="1">
      <c r="B17" s="4" t="inlineStr">
        <is>
          <t>Checks Passed:</t>
        </is>
      </c>
      <c r="D17" s="62">
        <f>COUNTIF(D7:D14,"PASS")</f>
        <v/>
      </c>
    </row>
    <row r="18" ht="25" customHeight="1">
      <c r="B18" s="4" t="inlineStr">
        <is>
          <t>Checks Needing Attention:</t>
        </is>
      </c>
      <c r="D18" s="63">
        <f>COUNTIF(D7:D14,"CHECK")</f>
        <v/>
      </c>
    </row>
    <row r="20" ht="30" customHeight="1">
      <c r="B20" s="64">
        <f>IF(D18=0,"ALL CHECKS PASSED - Ready to submit","Some checks need attention - review the items above")</f>
        <v/>
      </c>
    </row>
    <row r="22" ht="25" customHeight="1">
      <c r="B22" s="7" t="inlineStr">
        <is>
          <t>RECONCILIATION TIPS</t>
        </is>
      </c>
    </row>
    <row r="23" ht="20" customHeight="1">
      <c r="B23" s="13" t="inlineStr">
        <is>
          <t>1. Ensure all sales invoices have been entered and none are duplicated.</t>
        </is>
      </c>
    </row>
    <row r="24" ht="20" customHeight="1">
      <c r="B24" s="13" t="inlineStr">
        <is>
          <t>2. Check that purchase invoices are dated within the correct VAT quarter.</t>
        </is>
      </c>
    </row>
    <row r="25" ht="20" customHeight="1">
      <c r="B25" s="13" t="inlineStr">
        <is>
          <t>3. Verify that VAT rates are correct (standard 20%, reduced 5%, zero 0%).</t>
        </is>
      </c>
    </row>
    <row r="26" ht="20" customHeight="1">
      <c r="B26" s="13" t="inlineStr">
        <is>
          <t>4. Reclaimable VAT must be supported by a valid VAT invoice.</t>
        </is>
      </c>
    </row>
    <row r="27" ht="20" customHeight="1">
      <c r="B27" s="13" t="inlineStr">
        <is>
          <t>5. Box 6 should match your total turnover for the quarter.</t>
        </is>
      </c>
    </row>
    <row r="28" ht="20" customHeight="1">
      <c r="B28" s="13" t="inlineStr">
        <is>
          <t>6. If Box 5 is negative, HMRC will refund you (usually within 10 days).</t>
        </is>
      </c>
    </row>
    <row r="29" ht="20" customHeight="1">
      <c r="B29" s="13" t="inlineStr">
        <is>
          <t>7. Submit online at gov.uk by the deadline to avoid penalties.</t>
        </is>
      </c>
    </row>
  </sheetData>
  <mergeCells count="13">
    <mergeCell ref="B28:D28"/>
    <mergeCell ref="B3:D3"/>
    <mergeCell ref="B29:D29"/>
    <mergeCell ref="B23:D23"/>
    <mergeCell ref="B26:D26"/>
    <mergeCell ref="B2:D2"/>
    <mergeCell ref="B27:D27"/>
    <mergeCell ref="B17:C17"/>
    <mergeCell ref="B18:C18"/>
    <mergeCell ref="B25:D25"/>
    <mergeCell ref="B24:D24"/>
    <mergeCell ref="B16:D16"/>
    <mergeCell ref="B20:D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2026-06-11T19:36:31Z</dcterms:created>
  <dcterms:modified xmlns:dcterms="http://purl.org/dc/terms/" xmlns:xsi="http://www.w3.org/2001/XMLSchema-instance" xsi:type="dcterms:W3CDTF">2026-06-11T19:45:51Z</dcterms:modified>
</cp:coreProperties>
</file>