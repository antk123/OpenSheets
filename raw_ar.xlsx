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voices" sheetId="2" state="visible" r:id="rId2"/>
    <sheet xmlns:r="http://schemas.openxmlformats.org/officeDocument/2006/relationships" name="Aging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.00"/>
    <numFmt numFmtId="165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0F172A"/>
      <sz val="22"/>
    </font>
    <font>
      <name val="Calibri"/>
      <b val="1"/>
      <color rgb="000F172A"/>
      <sz val="13"/>
    </font>
    <font>
      <name val="Calibri"/>
      <b val="1"/>
      <color rgb="001E293B"/>
      <sz val="11"/>
    </font>
    <font>
      <name val="Calibri"/>
      <color rgb="00334155"/>
      <sz val="11"/>
    </font>
    <font>
      <name val="Calibri"/>
      <b val="1"/>
      <color rgb="00FFFFFF"/>
      <sz val="11"/>
    </font>
    <font>
      <name val="Calibri"/>
      <color rgb="000284C7"/>
      <sz val="11"/>
    </font>
    <font>
      <name val="Calibri"/>
      <color rgb="0064748B"/>
      <sz val="10"/>
    </font>
    <font>
      <name val="Calibri"/>
      <color rgb="001E293B"/>
      <sz val="11"/>
    </font>
    <font>
      <name val="Calibri"/>
      <b val="1"/>
      <color rgb="000F172A"/>
      <sz val="11"/>
    </font>
    <font>
      <name val="Calibri"/>
      <b val="1"/>
      <color rgb="000F172A"/>
      <sz val="12"/>
    </font>
    <font>
      <name val="Calibri"/>
      <b val="1"/>
      <color rgb="000F172A"/>
      <sz val="14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0F2FE"/>
        <bgColor rgb="00E0F2FE"/>
      </patternFill>
    </fill>
    <fill>
      <patternFill patternType="solid">
        <fgColor rgb="00F0F9FF"/>
        <bgColor rgb="00F0F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7" fillId="0" borderId="0" pivotButton="0" quotePrefix="0" xfId="0"/>
    <xf numFmtId="164" fontId="4" fillId="0" borderId="0" pivotButton="0" quotePrefix="0" xfId="0"/>
    <xf numFmtId="164" fontId="8" fillId="0" borderId="0" pivotButton="0" quotePrefix="0" xfId="0"/>
    <xf numFmtId="164" fontId="6" fillId="0" borderId="0" pivotButton="0" quotePrefix="0" xfId="0"/>
    <xf numFmtId="0" fontId="9" fillId="3" borderId="0" pivotButton="0" quotePrefix="0" xfId="0"/>
    <xf numFmtId="0" fontId="0" fillId="3" borderId="0" pivotButton="0" quotePrefix="0" xfId="0"/>
    <xf numFmtId="164" fontId="9" fillId="3" borderId="0" pivotButton="0" quotePrefix="0" xfId="0"/>
    <xf numFmtId="164" fontId="9" fillId="0" borderId="0" pivotButton="0" quotePrefix="0" xfId="0"/>
    <xf numFmtId="165" fontId="8" fillId="0" borderId="0" pivotButton="0" quotePrefix="0" xfId="0"/>
    <xf numFmtId="0" fontId="10" fillId="4" borderId="0" pivotButton="0" quotePrefix="0" xfId="0"/>
    <xf numFmtId="164" fontId="1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72A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55" customWidth="1" min="3" max="3"/>
  </cols>
  <sheetData>
    <row r="1" ht="45" customHeight="1">
      <c r="A1" s="1" t="n"/>
      <c r="B1" s="2" t="inlineStr">
        <is>
          <t>ACCOUNTS RECEIVABLE</t>
        </is>
      </c>
      <c r="C1" s="1" t="n"/>
      <c r="D1" s="1" t="n"/>
      <c r="E1" s="1" t="n"/>
      <c r="F1" s="1" t="n"/>
      <c r="G1" s="1" t="n"/>
      <c r="H1" s="1" t="n"/>
    </row>
    <row r="2">
      <c r="B2" s="3" t="inlineStr">
        <is>
          <t>Who Owes You Money - Debtor Tracking</t>
        </is>
      </c>
    </row>
    <row r="4">
      <c r="B4" s="4" t="inlineStr">
        <is>
          <t>How to Use</t>
        </is>
      </c>
      <c r="C4" s="5" t="inlineStr">
        <is>
          <t>List all outstanding invoices. Aging report shows how overdue each is.</t>
        </is>
      </c>
    </row>
    <row r="5">
      <c r="B5" s="4" t="inlineStr">
        <is>
          <t>Aging</t>
        </is>
      </c>
      <c r="C5" s="5" t="inlineStr">
        <is>
          <t>Current, 1-30 days, 31-60 days, 61-90 days, 90+ days.</t>
        </is>
      </c>
    </row>
    <row r="6">
      <c r="B6" s="4" t="inlineStr">
        <is>
          <t>Chase</t>
        </is>
      </c>
      <c r="C6" s="5" t="inlineStr">
        <is>
          <t>Use the Notes column to record chase activity.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EA5E9"/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3" customWidth="1" min="1" max="1"/>
    <col width="13" customWidth="1" min="2" max="2"/>
    <col width="12" customWidth="1" min="3" max="3"/>
    <col width="22" customWidth="1" min="4" max="4"/>
    <col width="24" customWidth="1" min="5" max="5"/>
    <col width="12" customWidth="1" min="6" max="6"/>
    <col width="16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40" customHeight="1">
      <c r="A1" s="1" t="n"/>
      <c r="B1" s="2" t="inlineStr">
        <is>
          <t>OUTSTANDING INVOICES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3">
      <c r="B3" s="6" t="inlineStr">
        <is>
          <t>Invoice No</t>
        </is>
      </c>
      <c r="C3" s="6" t="inlineStr">
        <is>
          <t>Date</t>
        </is>
      </c>
      <c r="D3" s="6" t="inlineStr">
        <is>
          <t>Customer</t>
        </is>
      </c>
      <c r="E3" s="6" t="inlineStr">
        <is>
          <t>Description</t>
        </is>
      </c>
      <c r="F3" s="6" t="inlineStr">
        <is>
          <t>Amount</t>
        </is>
      </c>
      <c r="G3" s="6" t="inlineStr">
        <is>
          <t>Days Outstanding</t>
        </is>
      </c>
      <c r="H3" s="6" t="inlineStr">
        <is>
          <t>Current</t>
        </is>
      </c>
      <c r="I3" s="6" t="inlineStr">
        <is>
          <t>1-30 days</t>
        </is>
      </c>
      <c r="J3" s="6" t="inlineStr">
        <is>
          <t>31-60 days</t>
        </is>
      </c>
      <c r="K3" s="6" t="inlineStr">
        <is>
          <t>61-90 days</t>
        </is>
      </c>
      <c r="L3" s="6" t="inlineStr">
        <is>
          <t>90+ days</t>
        </is>
      </c>
    </row>
    <row r="4">
      <c r="B4" s="5" t="inlineStr">
        <is>
          <t>INV-1001</t>
        </is>
      </c>
      <c r="C4" s="7" t="inlineStr">
        <is>
          <t>2025-03-15</t>
        </is>
      </c>
      <c r="D4" s="5" t="inlineStr">
        <is>
          <t>ABC Ltd</t>
        </is>
      </c>
      <c r="E4" s="8" t="inlineStr">
        <is>
          <t>Consulting project</t>
        </is>
      </c>
      <c r="F4" s="9" t="n">
        <v>2500</v>
      </c>
      <c r="G4" s="7" t="n"/>
      <c r="H4" s="10">
        <f>IF(G4&lt;=0,E4,0)</f>
        <v/>
      </c>
      <c r="I4" s="10">
        <f>IF(AND(G4&gt;0,G4&lt;=30),E4,0)</f>
        <v/>
      </c>
      <c r="J4" s="10">
        <f>IF(AND(G4&gt;30,G4&lt;=60),E4,0)</f>
        <v/>
      </c>
      <c r="K4" s="10">
        <f>IF(AND(G4&gt;60,G4&lt;=90),E4,0)</f>
        <v/>
      </c>
      <c r="L4" s="10">
        <f>IF(G4&gt;90,E4,0)</f>
        <v/>
      </c>
    </row>
    <row r="5">
      <c r="B5" s="5" t="inlineStr">
        <is>
          <t>INV-1002</t>
        </is>
      </c>
      <c r="C5" s="7" t="inlineStr">
        <is>
          <t>2025-03-28</t>
        </is>
      </c>
      <c r="D5" s="5" t="inlineStr">
        <is>
          <t>XYZ Ltd</t>
        </is>
      </c>
      <c r="E5" s="8" t="inlineStr">
        <is>
          <t>Website design</t>
        </is>
      </c>
      <c r="F5" s="9" t="n">
        <v>1800</v>
      </c>
      <c r="G5" s="7" t="n"/>
      <c r="H5" s="10">
        <f>IF(G5&lt;=0,E5,0)</f>
        <v/>
      </c>
      <c r="I5" s="10">
        <f>IF(AND(G5&gt;0,G5&lt;=30),E5,0)</f>
        <v/>
      </c>
      <c r="J5" s="10">
        <f>IF(AND(G5&gt;30,G5&lt;=60),E5,0)</f>
        <v/>
      </c>
      <c r="K5" s="10">
        <f>IF(AND(G5&gt;60,G5&lt;=90),E5,0)</f>
        <v/>
      </c>
      <c r="L5" s="10">
        <f>IF(G5&gt;90,E5,0)</f>
        <v/>
      </c>
    </row>
    <row r="6">
      <c r="B6" s="5" t="inlineStr">
        <is>
          <t>INV-1003</t>
        </is>
      </c>
      <c r="C6" s="7" t="inlineStr">
        <is>
          <t>2025-04-02</t>
        </is>
      </c>
      <c r="D6" s="5" t="inlineStr">
        <is>
          <t>Smith &amp; Co</t>
        </is>
      </c>
      <c r="E6" s="8" t="inlineStr">
        <is>
          <t>Monthly retainer</t>
        </is>
      </c>
      <c r="F6" s="9" t="n">
        <v>950</v>
      </c>
      <c r="G6" s="7" t="n"/>
      <c r="H6" s="10">
        <f>IF(G6&lt;=0,E6,0)</f>
        <v/>
      </c>
      <c r="I6" s="10">
        <f>IF(AND(G6&gt;0,G6&lt;=30),E6,0)</f>
        <v/>
      </c>
      <c r="J6" s="10">
        <f>IF(AND(G6&gt;30,G6&lt;=60),E6,0)</f>
        <v/>
      </c>
      <c r="K6" s="10">
        <f>IF(AND(G6&gt;60,G6&lt;=90),E6,0)</f>
        <v/>
      </c>
      <c r="L6" s="10">
        <f>IF(G6&gt;90,E6,0)</f>
        <v/>
      </c>
    </row>
    <row r="7">
      <c r="B7" s="5" t="inlineStr">
        <is>
          <t>INV-1004</t>
        </is>
      </c>
      <c r="C7" s="7" t="inlineStr">
        <is>
          <t>2025-04-10</t>
        </is>
      </c>
      <c r="D7" s="5" t="inlineStr">
        <is>
          <t>Green Ltd</t>
        </is>
      </c>
      <c r="E7" s="8" t="inlineStr">
        <is>
          <t>Training course</t>
        </is>
      </c>
      <c r="F7" s="9" t="n">
        <v>1200</v>
      </c>
      <c r="G7" s="7" t="n"/>
      <c r="H7" s="10">
        <f>IF(G7&lt;=0,E7,0)</f>
        <v/>
      </c>
      <c r="I7" s="10">
        <f>IF(AND(G7&gt;0,G7&lt;=30),E7,0)</f>
        <v/>
      </c>
      <c r="J7" s="10">
        <f>IF(AND(G7&gt;30,G7&lt;=60),E7,0)</f>
        <v/>
      </c>
      <c r="K7" s="10">
        <f>IF(AND(G7&gt;60,G7&lt;=90),E7,0)</f>
        <v/>
      </c>
      <c r="L7" s="10">
        <f>IF(G7&gt;90,E7,0)</f>
        <v/>
      </c>
    </row>
    <row r="8">
      <c r="B8" s="5" t="inlineStr">
        <is>
          <t>INV-1005</t>
        </is>
      </c>
      <c r="C8" s="7" t="inlineStr">
        <is>
          <t>2025-04-18</t>
        </is>
      </c>
      <c r="D8" s="5" t="inlineStr">
        <is>
          <t>Brown &amp; Sons</t>
        </is>
      </c>
      <c r="E8" s="8" t="inlineStr">
        <is>
          <t>Project work</t>
        </is>
      </c>
      <c r="F8" s="9" t="n">
        <v>3200</v>
      </c>
      <c r="G8" s="7" t="n"/>
      <c r="H8" s="10">
        <f>IF(G8&lt;=0,E8,0)</f>
        <v/>
      </c>
      <c r="I8" s="10">
        <f>IF(AND(G8&gt;0,G8&lt;=30),E8,0)</f>
        <v/>
      </c>
      <c r="J8" s="10">
        <f>IF(AND(G8&gt;30,G8&lt;=60),E8,0)</f>
        <v/>
      </c>
      <c r="K8" s="10">
        <f>IF(AND(G8&gt;60,G8&lt;=90),E8,0)</f>
        <v/>
      </c>
      <c r="L8" s="10">
        <f>IF(G8&gt;90,E8,0)</f>
        <v/>
      </c>
    </row>
    <row r="9">
      <c r="B9" s="5" t="inlineStr">
        <is>
          <t>INV-1006</t>
        </is>
      </c>
      <c r="C9" s="7" t="inlineStr">
        <is>
          <t>2025-05-01</t>
        </is>
      </c>
      <c r="D9" s="5" t="inlineStr">
        <is>
          <t>ABC Ltd</t>
        </is>
      </c>
      <c r="E9" s="8" t="inlineStr">
        <is>
          <t>Follow-up work</t>
        </is>
      </c>
      <c r="F9" s="9" t="n">
        <v>750</v>
      </c>
      <c r="G9" s="7" t="n"/>
      <c r="H9" s="10">
        <f>IF(G9&lt;=0,E9,0)</f>
        <v/>
      </c>
      <c r="I9" s="10">
        <f>IF(AND(G9&gt;0,G9&lt;=30),E9,0)</f>
        <v/>
      </c>
      <c r="J9" s="10">
        <f>IF(AND(G9&gt;30,G9&lt;=60),E9,0)</f>
        <v/>
      </c>
      <c r="K9" s="10">
        <f>IF(AND(G9&gt;60,G9&lt;=90),E9,0)</f>
        <v/>
      </c>
      <c r="L9" s="10">
        <f>IF(G9&gt;90,E9,0)</f>
        <v/>
      </c>
    </row>
    <row r="10">
      <c r="B10" s="7" t="n"/>
      <c r="C10" s="7" t="n"/>
      <c r="D10" s="7" t="n"/>
      <c r="E10" s="8" t="n"/>
      <c r="F10" s="11" t="n"/>
      <c r="G10" s="7" t="n"/>
      <c r="H10" s="10">
        <f>IF(G10&lt;=0,F10,0)</f>
        <v/>
      </c>
      <c r="I10" s="10">
        <f>IF(AND(G10&gt;0,G10&lt;=30),F10,0)</f>
        <v/>
      </c>
      <c r="J10" s="10">
        <f>IF(AND(G10&gt;30,G10&lt;=60),F10,0)</f>
        <v/>
      </c>
      <c r="K10" s="10">
        <f>IF(AND(G10&gt;60,G10&lt;=90),F10,0)</f>
        <v/>
      </c>
      <c r="L10" s="10">
        <f>IF(G10&gt;90,F10,0)</f>
        <v/>
      </c>
    </row>
    <row r="11">
      <c r="B11" s="7" t="n"/>
      <c r="C11" s="7" t="n"/>
      <c r="D11" s="7" t="n"/>
      <c r="E11" s="8" t="n"/>
      <c r="F11" s="11" t="n"/>
      <c r="G11" s="7" t="n"/>
      <c r="H11" s="10">
        <f>IF(G11&lt;=0,F11,0)</f>
        <v/>
      </c>
      <c r="I11" s="10">
        <f>IF(AND(G11&gt;0,G11&lt;=30),F11,0)</f>
        <v/>
      </c>
      <c r="J11" s="10">
        <f>IF(AND(G11&gt;30,G11&lt;=60),F11,0)</f>
        <v/>
      </c>
      <c r="K11" s="10">
        <f>IF(AND(G11&gt;60,G11&lt;=90),F11,0)</f>
        <v/>
      </c>
      <c r="L11" s="10">
        <f>IF(G11&gt;90,F11,0)</f>
        <v/>
      </c>
    </row>
    <row r="12">
      <c r="B12" s="7" t="n"/>
      <c r="C12" s="7" t="n"/>
      <c r="D12" s="7" t="n"/>
      <c r="E12" s="8" t="n"/>
      <c r="F12" s="11" t="n"/>
      <c r="G12" s="7" t="n"/>
      <c r="H12" s="10">
        <f>IF(G12&lt;=0,F12,0)</f>
        <v/>
      </c>
      <c r="I12" s="10">
        <f>IF(AND(G12&gt;0,G12&lt;=30),F12,0)</f>
        <v/>
      </c>
      <c r="J12" s="10">
        <f>IF(AND(G12&gt;30,G12&lt;=60),F12,0)</f>
        <v/>
      </c>
      <c r="K12" s="10">
        <f>IF(AND(G12&gt;60,G12&lt;=90),F12,0)</f>
        <v/>
      </c>
      <c r="L12" s="10">
        <f>IF(G12&gt;90,F12,0)</f>
        <v/>
      </c>
    </row>
    <row r="13">
      <c r="B13" s="7" t="n"/>
      <c r="C13" s="7" t="n"/>
      <c r="D13" s="7" t="n"/>
      <c r="E13" s="8" t="n"/>
      <c r="F13" s="11" t="n"/>
      <c r="G13" s="7" t="n"/>
      <c r="H13" s="10">
        <f>IF(G13&lt;=0,F13,0)</f>
        <v/>
      </c>
      <c r="I13" s="10">
        <f>IF(AND(G13&gt;0,G13&lt;=30),F13,0)</f>
        <v/>
      </c>
      <c r="J13" s="10">
        <f>IF(AND(G13&gt;30,G13&lt;=60),F13,0)</f>
        <v/>
      </c>
      <c r="K13" s="10">
        <f>IF(AND(G13&gt;60,G13&lt;=90),F13,0)</f>
        <v/>
      </c>
      <c r="L13" s="10">
        <f>IF(G13&gt;90,F13,0)</f>
        <v/>
      </c>
    </row>
    <row r="14">
      <c r="B14" s="7" t="n"/>
      <c r="C14" s="7" t="n"/>
      <c r="D14" s="7" t="n"/>
      <c r="E14" s="8" t="n"/>
      <c r="F14" s="11" t="n"/>
      <c r="G14" s="7" t="n"/>
      <c r="H14" s="10">
        <f>IF(G14&lt;=0,F14,0)</f>
        <v/>
      </c>
      <c r="I14" s="10">
        <f>IF(AND(G14&gt;0,G14&lt;=30),F14,0)</f>
        <v/>
      </c>
      <c r="J14" s="10">
        <f>IF(AND(G14&gt;30,G14&lt;=60),F14,0)</f>
        <v/>
      </c>
      <c r="K14" s="10">
        <f>IF(AND(G14&gt;60,G14&lt;=90),F14,0)</f>
        <v/>
      </c>
      <c r="L14" s="10">
        <f>IF(G14&gt;90,F14,0)</f>
        <v/>
      </c>
    </row>
    <row r="15">
      <c r="B15" s="7" t="n"/>
      <c r="C15" s="7" t="n"/>
      <c r="D15" s="7" t="n"/>
      <c r="E15" s="8" t="n"/>
      <c r="F15" s="11" t="n"/>
      <c r="G15" s="7" t="n"/>
      <c r="H15" s="10">
        <f>IF(G15&lt;=0,F15,0)</f>
        <v/>
      </c>
      <c r="I15" s="10">
        <f>IF(AND(G15&gt;0,G15&lt;=30),F15,0)</f>
        <v/>
      </c>
      <c r="J15" s="10">
        <f>IF(AND(G15&gt;30,G15&lt;=60),F15,0)</f>
        <v/>
      </c>
      <c r="K15" s="10">
        <f>IF(AND(G15&gt;60,G15&lt;=90),F15,0)</f>
        <v/>
      </c>
      <c r="L15" s="10">
        <f>IF(G15&gt;90,F15,0)</f>
        <v/>
      </c>
    </row>
    <row r="16">
      <c r="B16" s="7" t="n"/>
      <c r="C16" s="7" t="n"/>
      <c r="D16" s="7" t="n"/>
      <c r="E16" s="8" t="n"/>
      <c r="F16" s="11" t="n"/>
      <c r="G16" s="7" t="n"/>
      <c r="H16" s="10">
        <f>IF(G16&lt;=0,F16,0)</f>
        <v/>
      </c>
      <c r="I16" s="10">
        <f>IF(AND(G16&gt;0,G16&lt;=30),F16,0)</f>
        <v/>
      </c>
      <c r="J16" s="10">
        <f>IF(AND(G16&gt;30,G16&lt;=60),F16,0)</f>
        <v/>
      </c>
      <c r="K16" s="10">
        <f>IF(AND(G16&gt;60,G16&lt;=90),F16,0)</f>
        <v/>
      </c>
      <c r="L16" s="10">
        <f>IF(G16&gt;90,F16,0)</f>
        <v/>
      </c>
    </row>
    <row r="17">
      <c r="B17" s="7" t="n"/>
      <c r="C17" s="7" t="n"/>
      <c r="D17" s="7" t="n"/>
      <c r="E17" s="8" t="n"/>
      <c r="F17" s="11" t="n"/>
      <c r="G17" s="7" t="n"/>
      <c r="H17" s="10">
        <f>IF(G17&lt;=0,F17,0)</f>
        <v/>
      </c>
      <c r="I17" s="10">
        <f>IF(AND(G17&gt;0,G17&lt;=30),F17,0)</f>
        <v/>
      </c>
      <c r="J17" s="10">
        <f>IF(AND(G17&gt;30,G17&lt;=60),F17,0)</f>
        <v/>
      </c>
      <c r="K17" s="10">
        <f>IF(AND(G17&gt;60,G17&lt;=90),F17,0)</f>
        <v/>
      </c>
      <c r="L17" s="10">
        <f>IF(G17&gt;90,F17,0)</f>
        <v/>
      </c>
    </row>
    <row r="18">
      <c r="B18" s="7" t="n"/>
      <c r="C18" s="7" t="n"/>
      <c r="D18" s="7" t="n"/>
      <c r="E18" s="8" t="n"/>
      <c r="F18" s="11" t="n"/>
      <c r="G18" s="7" t="n"/>
      <c r="H18" s="10">
        <f>IF(G18&lt;=0,F18,0)</f>
        <v/>
      </c>
      <c r="I18" s="10">
        <f>IF(AND(G18&gt;0,G18&lt;=30),F18,0)</f>
        <v/>
      </c>
      <c r="J18" s="10">
        <f>IF(AND(G18&gt;30,G18&lt;=60),F18,0)</f>
        <v/>
      </c>
      <c r="K18" s="10">
        <f>IF(AND(G18&gt;60,G18&lt;=90),F18,0)</f>
        <v/>
      </c>
      <c r="L18" s="10">
        <f>IF(G18&gt;90,F18,0)</f>
        <v/>
      </c>
    </row>
    <row r="19">
      <c r="B19" s="7" t="n"/>
      <c r="C19" s="7" t="n"/>
      <c r="D19" s="7" t="n"/>
      <c r="E19" s="8" t="n"/>
      <c r="F19" s="11" t="n"/>
      <c r="G19" s="7" t="n"/>
      <c r="H19" s="10">
        <f>IF(G19&lt;=0,F19,0)</f>
        <v/>
      </c>
      <c r="I19" s="10">
        <f>IF(AND(G19&gt;0,G19&lt;=30),F19,0)</f>
        <v/>
      </c>
      <c r="J19" s="10">
        <f>IF(AND(G19&gt;30,G19&lt;=60),F19,0)</f>
        <v/>
      </c>
      <c r="K19" s="10">
        <f>IF(AND(G19&gt;60,G19&lt;=90),F19,0)</f>
        <v/>
      </c>
      <c r="L19" s="10">
        <f>IF(G19&gt;90,F19,0)</f>
        <v/>
      </c>
    </row>
    <row r="20">
      <c r="B20" s="12" t="inlineStr">
        <is>
          <t>TOTALS</t>
        </is>
      </c>
      <c r="C20" s="13" t="n"/>
      <c r="D20" s="13" t="n"/>
      <c r="E20" s="14">
        <f>SUM(E4:E19)</f>
        <v/>
      </c>
      <c r="F20" s="13" t="n"/>
      <c r="G20" s="14">
        <f>SUM(G4:G19)</f>
        <v/>
      </c>
      <c r="H20" s="14">
        <f>SUM(H4:H19)</f>
        <v/>
      </c>
      <c r="I20" s="14">
        <f>SUM(I4:I19)</f>
        <v/>
      </c>
      <c r="J20" s="14">
        <f>SUM(J4:J19)</f>
        <v/>
      </c>
      <c r="K20" s="14">
        <f>SUM(K4:K19)</f>
        <v/>
      </c>
      <c r="L20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172A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12" customWidth="1" min="4" max="4"/>
  </cols>
  <sheetData>
    <row r="1" ht="40" customHeight="1">
      <c r="A1" s="1" t="n"/>
      <c r="B1" s="2" t="inlineStr">
        <is>
          <t>AGING SUMMARY</t>
        </is>
      </c>
      <c r="C1" s="1" t="n"/>
      <c r="D1" s="1" t="n"/>
      <c r="E1" s="1" t="n"/>
      <c r="F1" s="1" t="n"/>
      <c r="G1" s="1" t="n"/>
      <c r="H1" s="1" t="n"/>
    </row>
    <row r="4">
      <c r="B4" s="5" t="inlineStr">
        <is>
          <t>Current (not yet due)</t>
        </is>
      </c>
      <c r="C4" s="15">
        <f>'Invoices'!H20</f>
        <v/>
      </c>
      <c r="D4" s="16">
        <f>IF(C$9&gt;0,C4/C$9,0)</f>
        <v/>
      </c>
    </row>
    <row r="5">
      <c r="B5" s="5" t="inlineStr">
        <is>
          <t>1-30 days overdue</t>
        </is>
      </c>
      <c r="C5" s="15">
        <f>'Invoices'!I20</f>
        <v/>
      </c>
      <c r="D5" s="16">
        <f>IF(C$9&gt;0,C5/C$9,0)</f>
        <v/>
      </c>
    </row>
    <row r="6">
      <c r="B6" s="5" t="inlineStr">
        <is>
          <t>31-60 days overdue</t>
        </is>
      </c>
      <c r="C6" s="15">
        <f>'Invoices'!J20</f>
        <v/>
      </c>
      <c r="D6" s="16">
        <f>IF(C$9&gt;0,C6/C$9,0)</f>
        <v/>
      </c>
    </row>
    <row r="7">
      <c r="B7" s="5" t="inlineStr">
        <is>
          <t>61-90 days overdue</t>
        </is>
      </c>
      <c r="C7" s="15">
        <f>'Invoices'!K20</f>
        <v/>
      </c>
      <c r="D7" s="16">
        <f>IF(C$9&gt;0,C7/C$9,0)</f>
        <v/>
      </c>
    </row>
    <row r="8">
      <c r="B8" s="5" t="inlineStr">
        <is>
          <t>Over 90 days</t>
        </is>
      </c>
      <c r="C8" s="15">
        <f>'Invoices'!L20</f>
        <v/>
      </c>
      <c r="D8" s="16">
        <f>IF(C$9&gt;0,C8/C$9,0)</f>
        <v/>
      </c>
    </row>
    <row r="9">
      <c r="B9" s="17" t="inlineStr">
        <is>
          <t>TOTAL OUTSTANDING</t>
        </is>
      </c>
      <c r="C9" s="18">
        <f>SUM(C4:C8)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2026-06-12T20:57:30Z</dcterms:created>
  <dcterms:modified xmlns:dcterms="http://purl.org/dc/terms/" xmlns:xsi="http://www.w3.org/2001/XMLSchema-instance" xsi:type="dcterms:W3CDTF">2026-06-12T20:57:30Z</dcterms:modified>
</cp:coreProperties>
</file>