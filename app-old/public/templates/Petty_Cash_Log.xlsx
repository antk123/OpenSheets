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tty Cash" sheetId="2" state="visible" r:id="rId2"/>
    <sheet xmlns:r="http://schemas.openxmlformats.org/officeDocument/2006/relationships" name="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12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color rgb="000284C7"/>
      <sz val="11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color rgb="0064748B"/>
      <sz val="10"/>
    </font>
    <font>
      <name val="Calibri"/>
      <b val="1"/>
      <color rgb="000F172A"/>
      <sz val="11"/>
    </font>
    <font>
      <name val="Calibri"/>
      <b val="1"/>
      <color rgb="000F172A"/>
      <sz val="12"/>
    </font>
    <font>
      <name val="Calibri"/>
      <b val="1"/>
      <color rgb="000F172A"/>
      <sz val="14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F0F9FF"/>
        <bgColor rgb="00F0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0" fillId="3" borderId="0" pivotButton="0" quotePrefix="0" xfId="0"/>
    <xf numFmtId="164" fontId="9" fillId="3" borderId="0" pivotButton="0" quotePrefix="0" xfId="0"/>
    <xf numFmtId="0" fontId="10" fillId="4" borderId="0" pivotButton="0" quotePrefix="0" xfId="0"/>
    <xf numFmtId="0" fontId="0" fillId="4" borderId="0" pivotButton="0" quotePrefix="0" xfId="0"/>
    <xf numFmtId="164" fontId="11" fillId="4" borderId="0" pivotButton="0" quotePrefix="0" xfId="0"/>
    <xf numFmtId="164" fontId="9" fillId="0" borderId="0" pivotButton="0" quotePrefix="0" xfId="0"/>
    <xf numFmtId="0" fontId="3" fillId="4" borderId="0" pivotButton="0" quotePrefix="0" xfId="0"/>
    <xf numFmtId="164" fontId="9" fillId="4" borderId="0" pivotButton="0" quotePrefix="0" xfId="0"/>
    <xf numFmtId="164" fontId="0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45" customHeight="1">
      <c r="A1" s="1" t="n"/>
      <c r="B1" s="2" t="inlineStr">
        <is>
          <t>PETTY CASH LOG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Small Cash Transaction Tracker</t>
        </is>
      </c>
    </row>
    <row r="4">
      <c r="B4" s="4" t="inlineStr">
        <is>
          <t>How to Use</t>
        </is>
      </c>
      <c r="C4" s="5" t="inlineStr">
        <is>
          <t>Record all petty cash transactions. Float balance updates automatically.</t>
        </is>
      </c>
    </row>
    <row r="5">
      <c r="B5" s="4" t="inlineStr">
        <is>
          <t>Float</t>
        </is>
      </c>
      <c r="C5" s="5" t="inlineStr">
        <is>
          <t>Enter your starting float amount at the top.</t>
        </is>
      </c>
    </row>
    <row r="6">
      <c r="B6" s="4" t="inlineStr">
        <is>
          <t>Reconcile</t>
        </is>
      </c>
      <c r="C6" s="5" t="inlineStr">
        <is>
          <t>Physical cash should match the closing balance.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18" customWidth="1" min="4" max="4"/>
    <col width="12" customWidth="1" min="5" max="5"/>
    <col width="12" customWidth="1" min="6" max="6"/>
    <col width="14" customWidth="1" min="7" max="7"/>
    <col width="10" customWidth="1" min="8" max="8"/>
    <col width="14" customWidth="1" min="9" max="9"/>
  </cols>
  <sheetData>
    <row r="1" ht="40" customHeight="1">
      <c r="A1" s="1" t="n"/>
      <c r="B1" s="2" t="inlineStr">
        <is>
          <t>PETTY CASH LOG</t>
        </is>
      </c>
      <c r="C1" s="1" t="n"/>
      <c r="D1" s="1" t="n"/>
      <c r="E1" s="1" t="n"/>
      <c r="F1" s="1" t="n"/>
      <c r="G1" s="1" t="n"/>
      <c r="H1" s="1" t="n"/>
      <c r="I1" s="1" t="n"/>
    </row>
    <row r="3">
      <c r="B3" s="4" t="inlineStr">
        <is>
          <t>STARTING FLOAT</t>
        </is>
      </c>
      <c r="C3" s="6" t="n">
        <v>100</v>
      </c>
    </row>
    <row r="4">
      <c r="B4" s="4" t="inlineStr">
        <is>
          <t>Date Range</t>
        </is>
      </c>
      <c r="C4" s="7" t="n"/>
    </row>
    <row r="6">
      <c r="B6" s="8" t="inlineStr">
        <is>
          <t>Date</t>
        </is>
      </c>
      <c r="C6" s="8" t="inlineStr">
        <is>
          <t>Description</t>
        </is>
      </c>
      <c r="D6" s="8" t="inlineStr">
        <is>
          <t>Category</t>
        </is>
      </c>
      <c r="E6" s="8" t="inlineStr">
        <is>
          <t>Paid Out</t>
        </is>
      </c>
      <c r="F6" s="8" t="inlineStr">
        <is>
          <t>Received In</t>
        </is>
      </c>
      <c r="G6" s="8" t="inlineStr">
        <is>
          <t>Balance</t>
        </is>
      </c>
      <c r="H6" s="8" t="inlineStr">
        <is>
          <t>Receipt</t>
        </is>
      </c>
      <c r="I6" s="8" t="inlineStr">
        <is>
          <t>Notes</t>
        </is>
      </c>
    </row>
    <row r="7">
      <c r="B7" s="7" t="inlineStr">
        <is>
          <t>2025-04-01</t>
        </is>
      </c>
      <c r="C7" s="5" t="inlineStr">
        <is>
          <t>Opening float</t>
        </is>
      </c>
      <c r="D7" s="5" t="inlineStr">
        <is>
          <t>Float</t>
        </is>
      </c>
      <c r="E7" s="6" t="inlineStr"/>
      <c r="F7" s="6" t="n">
        <v>100</v>
      </c>
      <c r="G7" s="9">
        <f>C3+F7-E7</f>
        <v/>
      </c>
      <c r="H7" s="7" t="inlineStr">
        <is>
          <t>Yes</t>
        </is>
      </c>
      <c r="I7" s="10" t="inlineStr"/>
    </row>
    <row r="8">
      <c r="B8" s="7" t="inlineStr">
        <is>
          <t>2025-04-02</t>
        </is>
      </c>
      <c r="C8" s="5" t="inlineStr">
        <is>
          <t>Post stamps</t>
        </is>
      </c>
      <c r="D8" s="5" t="inlineStr">
        <is>
          <t>Postage</t>
        </is>
      </c>
      <c r="E8" s="6" t="n">
        <v>12.5</v>
      </c>
      <c r="F8" s="6" t="inlineStr"/>
      <c r="G8" s="9">
        <f>G7+F8-E8</f>
        <v/>
      </c>
      <c r="H8" s="7" t="inlineStr">
        <is>
          <t>Yes</t>
        </is>
      </c>
      <c r="I8" s="10" t="inlineStr"/>
    </row>
    <row r="9">
      <c r="B9" s="7" t="inlineStr">
        <is>
          <t>2025-04-03</t>
        </is>
      </c>
      <c r="C9" s="5" t="inlineStr">
        <is>
          <t>Office milk</t>
        </is>
      </c>
      <c r="D9" s="5" t="inlineStr">
        <is>
          <t>Supplies</t>
        </is>
      </c>
      <c r="E9" s="6" t="n">
        <v>3.2</v>
      </c>
      <c r="F9" s="6" t="inlineStr"/>
      <c r="G9" s="9">
        <f>G8+F9-E9</f>
        <v/>
      </c>
      <c r="H9" s="7" t="inlineStr">
        <is>
          <t>Yes</t>
        </is>
      </c>
      <c r="I9" s="10" t="inlineStr"/>
    </row>
    <row r="10">
      <c r="B10" s="7" t="inlineStr">
        <is>
          <t>2025-04-05</t>
        </is>
      </c>
      <c r="C10" s="5" t="inlineStr">
        <is>
          <t>Parking meter</t>
        </is>
      </c>
      <c r="D10" s="5" t="inlineStr">
        <is>
          <t>Travel</t>
        </is>
      </c>
      <c r="E10" s="6" t="n">
        <v>2</v>
      </c>
      <c r="F10" s="6" t="inlineStr"/>
      <c r="G10" s="9">
        <f>G9+F10-E10</f>
        <v/>
      </c>
      <c r="H10" s="7" t="inlineStr">
        <is>
          <t>No</t>
        </is>
      </c>
      <c r="I10" s="10" t="inlineStr"/>
    </row>
    <row r="11">
      <c r="B11" s="7" t="inlineStr">
        <is>
          <t>2025-04-07</t>
        </is>
      </c>
      <c r="C11" s="5" t="inlineStr">
        <is>
          <t>Taxi to client</t>
        </is>
      </c>
      <c r="D11" s="5" t="inlineStr">
        <is>
          <t>Travel</t>
        </is>
      </c>
      <c r="E11" s="6" t="n">
        <v>8.5</v>
      </c>
      <c r="F11" s="6" t="inlineStr"/>
      <c r="G11" s="9">
        <f>G10+F11-E11</f>
        <v/>
      </c>
      <c r="H11" s="7" t="inlineStr">
        <is>
          <t>Yes</t>
        </is>
      </c>
      <c r="I11" s="10" t="inlineStr"/>
    </row>
    <row r="12">
      <c r="B12" s="7" t="inlineStr">
        <is>
          <t>2025-04-08</t>
        </is>
      </c>
      <c r="C12" s="5" t="inlineStr">
        <is>
          <t>Top-up from bank</t>
        </is>
      </c>
      <c r="D12" s="5" t="inlineStr">
        <is>
          <t>Float</t>
        </is>
      </c>
      <c r="E12" s="6" t="inlineStr"/>
      <c r="F12" s="6" t="n">
        <v>50</v>
      </c>
      <c r="G12" s="9">
        <f>G11+F12-E12</f>
        <v/>
      </c>
      <c r="H12" s="7" t="inlineStr">
        <is>
          <t>Yes</t>
        </is>
      </c>
      <c r="I12" s="10" t="inlineStr"/>
    </row>
    <row r="13">
      <c r="B13" s="7" t="inlineStr">
        <is>
          <t>2025-04-10</t>
        </is>
      </c>
      <c r="C13" s="5" t="inlineStr">
        <is>
          <t>Printer toner</t>
        </is>
      </c>
      <c r="D13" s="5" t="inlineStr">
        <is>
          <t>Supplies</t>
        </is>
      </c>
      <c r="E13" s="6" t="n">
        <v>24.99</v>
      </c>
      <c r="F13" s="6" t="inlineStr"/>
      <c r="G13" s="9">
        <f>G12+F13-E13</f>
        <v/>
      </c>
      <c r="H13" s="7" t="inlineStr">
        <is>
          <t>Yes</t>
        </is>
      </c>
      <c r="I13" s="10" t="inlineStr"/>
    </row>
    <row r="14">
      <c r="B14" s="7" t="n"/>
      <c r="C14" s="7" t="n"/>
      <c r="D14" s="5" t="inlineStr">
        <is>
          <t>Supplies</t>
        </is>
      </c>
      <c r="E14" s="6" t="n"/>
      <c r="F14" s="6" t="n"/>
      <c r="G14" s="9">
        <f>G13+F14-E14</f>
        <v/>
      </c>
      <c r="H14" s="7" t="n"/>
      <c r="I14" s="10" t="n"/>
    </row>
    <row r="15">
      <c r="B15" s="7" t="n"/>
      <c r="C15" s="7" t="n"/>
      <c r="D15" s="5" t="inlineStr">
        <is>
          <t>Supplies</t>
        </is>
      </c>
      <c r="E15" s="6" t="n"/>
      <c r="F15" s="6" t="n"/>
      <c r="G15" s="9">
        <f>G14+F15-E15</f>
        <v/>
      </c>
      <c r="H15" s="7" t="n"/>
      <c r="I15" s="10" t="n"/>
    </row>
    <row r="16">
      <c r="B16" s="7" t="n"/>
      <c r="C16" s="7" t="n"/>
      <c r="D16" s="5" t="inlineStr">
        <is>
          <t>Supplies</t>
        </is>
      </c>
      <c r="E16" s="6" t="n"/>
      <c r="F16" s="6" t="n"/>
      <c r="G16" s="9">
        <f>G15+F16-E16</f>
        <v/>
      </c>
      <c r="H16" s="7" t="n"/>
      <c r="I16" s="10" t="n"/>
    </row>
    <row r="17">
      <c r="B17" s="7" t="n"/>
      <c r="C17" s="7" t="n"/>
      <c r="D17" s="5" t="inlineStr">
        <is>
          <t>Supplies</t>
        </is>
      </c>
      <c r="E17" s="6" t="n"/>
      <c r="F17" s="6" t="n"/>
      <c r="G17" s="9">
        <f>G16+F17-E17</f>
        <v/>
      </c>
      <c r="H17" s="7" t="n"/>
      <c r="I17" s="10" t="n"/>
    </row>
    <row r="18">
      <c r="B18" s="7" t="n"/>
      <c r="C18" s="7" t="n"/>
      <c r="D18" s="5" t="inlineStr">
        <is>
          <t>Supplies</t>
        </is>
      </c>
      <c r="E18" s="6" t="n"/>
      <c r="F18" s="6" t="n"/>
      <c r="G18" s="9">
        <f>G17+F18-E18</f>
        <v/>
      </c>
      <c r="H18" s="7" t="n"/>
      <c r="I18" s="10" t="n"/>
    </row>
    <row r="19">
      <c r="B19" s="7" t="n"/>
      <c r="C19" s="7" t="n"/>
      <c r="D19" s="5" t="inlineStr">
        <is>
          <t>Supplies</t>
        </is>
      </c>
      <c r="E19" s="6" t="n"/>
      <c r="F19" s="6" t="n"/>
      <c r="G19" s="9">
        <f>G18+F19-E19</f>
        <v/>
      </c>
      <c r="H19" s="7" t="n"/>
      <c r="I19" s="10" t="n"/>
    </row>
    <row r="20">
      <c r="B20" s="7" t="n"/>
      <c r="C20" s="7" t="n"/>
      <c r="D20" s="5" t="inlineStr">
        <is>
          <t>Supplies</t>
        </is>
      </c>
      <c r="E20" s="6" t="n"/>
      <c r="F20" s="6" t="n"/>
      <c r="G20" s="9">
        <f>G19+F20-E20</f>
        <v/>
      </c>
      <c r="H20" s="7" t="n"/>
      <c r="I20" s="10" t="n"/>
    </row>
    <row r="21">
      <c r="B21" s="7" t="n"/>
      <c r="C21" s="7" t="n"/>
      <c r="D21" s="5" t="inlineStr">
        <is>
          <t>Supplies</t>
        </is>
      </c>
      <c r="E21" s="6" t="n"/>
      <c r="F21" s="6" t="n"/>
      <c r="G21" s="9">
        <f>G20+F21-E21</f>
        <v/>
      </c>
      <c r="H21" s="7" t="n"/>
      <c r="I21" s="10" t="n"/>
    </row>
    <row r="22">
      <c r="B22" s="7" t="n"/>
      <c r="C22" s="7" t="n"/>
      <c r="D22" s="5" t="inlineStr">
        <is>
          <t>Supplies</t>
        </is>
      </c>
      <c r="E22" s="6" t="n"/>
      <c r="F22" s="6" t="n"/>
      <c r="G22" s="9">
        <f>G21+F22-E22</f>
        <v/>
      </c>
      <c r="H22" s="7" t="n"/>
      <c r="I22" s="10" t="n"/>
    </row>
    <row r="23">
      <c r="B23" s="7" t="n"/>
      <c r="C23" s="7" t="n"/>
      <c r="D23" s="5" t="inlineStr">
        <is>
          <t>Supplies</t>
        </is>
      </c>
      <c r="E23" s="6" t="n"/>
      <c r="F23" s="6" t="n"/>
      <c r="G23" s="9">
        <f>G22+F23-E23</f>
        <v/>
      </c>
      <c r="H23" s="7" t="n"/>
      <c r="I23" s="10" t="n"/>
    </row>
    <row r="24">
      <c r="B24" s="7" t="n"/>
      <c r="C24" s="7" t="n"/>
      <c r="D24" s="5" t="inlineStr">
        <is>
          <t>Supplies</t>
        </is>
      </c>
      <c r="E24" s="6" t="n"/>
      <c r="F24" s="6" t="n"/>
      <c r="G24" s="9">
        <f>G23+F24-E24</f>
        <v/>
      </c>
      <c r="H24" s="7" t="n"/>
      <c r="I24" s="10" t="n"/>
    </row>
    <row r="25">
      <c r="B25" s="7" t="n"/>
      <c r="C25" s="7" t="n"/>
      <c r="D25" s="5" t="inlineStr">
        <is>
          <t>Supplies</t>
        </is>
      </c>
      <c r="E25" s="6" t="n"/>
      <c r="F25" s="6" t="n"/>
      <c r="G25" s="9">
        <f>G24+F25-E25</f>
        <v/>
      </c>
      <c r="H25" s="7" t="n"/>
      <c r="I25" s="10" t="n"/>
    </row>
    <row r="26">
      <c r="B26" s="7" t="n"/>
      <c r="C26" s="7" t="n"/>
      <c r="D26" s="5" t="inlineStr">
        <is>
          <t>Supplies</t>
        </is>
      </c>
      <c r="E26" s="6" t="n"/>
      <c r="F26" s="6" t="n"/>
      <c r="G26" s="9">
        <f>G25+F26-E26</f>
        <v/>
      </c>
      <c r="H26" s="7" t="n"/>
      <c r="I26" s="10" t="n"/>
    </row>
    <row r="27">
      <c r="B27" s="7" t="n"/>
      <c r="C27" s="7" t="n"/>
      <c r="D27" s="5" t="inlineStr">
        <is>
          <t>Supplies</t>
        </is>
      </c>
      <c r="E27" s="6" t="n"/>
      <c r="F27" s="6" t="n"/>
      <c r="G27" s="9">
        <f>G26+F27-E27</f>
        <v/>
      </c>
      <c r="H27" s="7" t="n"/>
      <c r="I27" s="10" t="n"/>
    </row>
    <row r="28">
      <c r="B28" s="7" t="n"/>
      <c r="C28" s="7" t="n"/>
      <c r="D28" s="5" t="inlineStr">
        <is>
          <t>Supplies</t>
        </is>
      </c>
      <c r="E28" s="6" t="n"/>
      <c r="F28" s="6" t="n"/>
      <c r="G28" s="9">
        <f>G27+F28-E28</f>
        <v/>
      </c>
      <c r="H28" s="7" t="n"/>
      <c r="I28" s="10" t="n"/>
    </row>
    <row r="29">
      <c r="B29" s="11" t="inlineStr">
        <is>
          <t>TOTALS</t>
        </is>
      </c>
      <c r="C29" s="12" t="n"/>
      <c r="D29" s="12" t="n"/>
      <c r="E29" s="13">
        <f>SUM(E7:E28)</f>
        <v/>
      </c>
      <c r="F29" s="13">
        <f>SUM(F7:F28)</f>
        <v/>
      </c>
      <c r="G29" s="13">
        <f>G28</f>
        <v/>
      </c>
      <c r="H29" s="12" t="n"/>
      <c r="I29" s="12" t="n"/>
    </row>
    <row r="31">
      <c r="B31" s="14" t="inlineStr">
        <is>
          <t>CLOSING BALANCE</t>
        </is>
      </c>
      <c r="C31" s="15" t="n"/>
      <c r="D31" s="15" t="n"/>
      <c r="E31" s="16">
        <f>G29</f>
        <v/>
      </c>
    </row>
    <row r="32">
      <c r="B32" s="10" t="inlineStr">
        <is>
          <t>Physical cash in tin should match this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172A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</cols>
  <sheetData>
    <row r="1" ht="40" customHeight="1">
      <c r="A1" s="1" t="n"/>
      <c r="B1" s="2" t="inlineStr">
        <is>
          <t>PETTY CASH RECONCILIATION</t>
        </is>
      </c>
      <c r="C1" s="1" t="n"/>
      <c r="D1" s="1" t="n"/>
      <c r="E1" s="1" t="n"/>
    </row>
    <row r="4">
      <c r="B4" s="5" t="inlineStr">
        <is>
          <t>Starting Float</t>
        </is>
      </c>
      <c r="C4" s="17">
        <f>'Petty Cash'!C3</f>
        <v/>
      </c>
    </row>
    <row r="5">
      <c r="B5" s="5" t="inlineStr">
        <is>
          <t>Add: Total Cash Received</t>
        </is>
      </c>
      <c r="C5" s="17">
        <f>'Petty Cash'!F29</f>
        <v/>
      </c>
    </row>
    <row r="6">
      <c r="B6" s="5" t="inlineStr">
        <is>
          <t>Less: Total Cash Paid Out</t>
        </is>
      </c>
      <c r="C6" s="17">
        <f>'Petty Cash'!E29</f>
        <v/>
      </c>
    </row>
    <row r="7">
      <c r="B7" s="18" t="inlineStr">
        <is>
          <t>CLOSING BALANCE (calculated)</t>
        </is>
      </c>
      <c r="C7" s="19">
        <f>B4+B5-B6</f>
        <v/>
      </c>
    </row>
    <row r="9">
      <c r="B9" s="5" t="inlineStr">
        <is>
          <t>Physical cash counted</t>
        </is>
      </c>
      <c r="C9" s="20" t="n"/>
    </row>
    <row r="10">
      <c r="B10" s="21" t="inlineStr">
        <is>
          <t>DIFFERENCE (should be zero)</t>
        </is>
      </c>
      <c r="C10" s="19">
        <f>B7-B9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2026-06-12T20:56:18Z</dcterms:created>
  <dcterms:modified xmlns:dcterms="http://purl.org/dc/terms/" xmlns:xsi="http://www.w3.org/2001/XMLSchema-instance" xsi:type="dcterms:W3CDTF">2026-06-12T20:56:18Z</dcterms:modified>
</cp:coreProperties>
</file>