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\£#,##0;\-\£#,##0;&quot;–&quot;"/>
    <numFmt numFmtId="165" formatCode="#,##0;\-#,##0;&quot;–&quot;"/>
    <numFmt numFmtId="166" formatCode="\£#,##0.00;\-\£#,##0.00;&quot;–&quot;"/>
  </numFmts>
  <fonts count="21">
    <font>
      <name val="Calibri"/>
      <family val="2"/>
      <color theme="1"/>
      <sz val="11"/>
      <scheme val="minor"/>
    </font>
    <font>
      <name val="Aptos Narrow"/>
      <b val="1"/>
      <color rgb="FF1F2937"/>
      <sz val="28"/>
    </font>
    <font>
      <name val="Aptos Narrow"/>
      <i val="1"/>
      <color rgb="FF9CA3AF"/>
      <sz val="10"/>
    </font>
    <font>
      <name val="Aptos Narrow"/>
      <b val="1"/>
      <color rgb="FF374151"/>
      <sz val="11"/>
    </font>
    <font>
      <name val="Aptos Narrow"/>
      <b val="1"/>
      <color rgb="FF6B7280"/>
      <sz val="11"/>
    </font>
    <font>
      <name val="Aptos Narrow"/>
      <i val="1"/>
      <color rgb="FF9CA3AF"/>
      <sz val="12"/>
    </font>
    <font>
      <name val="Aptos Narrow"/>
      <color rgb="FF1F2937"/>
      <sz val="12"/>
    </font>
    <font>
      <name val="Aptos Narrow"/>
      <b val="1"/>
      <color rgb="FFFFFFFF"/>
      <sz val="9.5"/>
    </font>
    <font>
      <name val="Aptos Narrow"/>
      <b val="1"/>
      <color rgb="FFFFFFFF"/>
      <sz val="16"/>
    </font>
    <font>
      <name val="Aptos Narrow"/>
      <b val="1"/>
      <color rgb="FF1F2937"/>
      <sz val="13"/>
    </font>
    <font>
      <name val="Aptos Narrow"/>
      <sz val="13"/>
    </font>
    <font>
      <name val="Aptos Narrow"/>
      <color rgb="FF374151"/>
      <sz val="13"/>
    </font>
    <font>
      <name val="Aptos Narrow"/>
      <b val="1"/>
      <color rgb="FF1F2937"/>
      <sz val="15"/>
    </font>
    <font>
      <name val="Aptos Narrow"/>
      <i val="1"/>
      <color rgb="FF9CA3AF"/>
      <sz val="11"/>
    </font>
    <font>
      <name val="Aptos Narrow"/>
      <b val="1"/>
      <color rgb="FF1F2937"/>
      <sz val="12"/>
    </font>
    <font>
      <name val="Aptos Narrow"/>
      <color rgb="FF6B7280"/>
      <sz val="11"/>
    </font>
    <font>
      <name val="Aptos Narrow"/>
      <b val="1"/>
      <color rgb="FF1F2937"/>
      <sz val="24"/>
    </font>
    <font>
      <name val="Aptos Narrow"/>
      <color rgb="FF1F2937"/>
      <sz val="11"/>
    </font>
    <font>
      <name val="Aptos Narrow"/>
      <i val="1"/>
      <color rgb="FF6B7280"/>
      <sz val="10"/>
    </font>
    <font>
      <name val="Aptos Narrow"/>
      <b val="1"/>
      <color rgb="FFFFFFFF"/>
      <sz val="12"/>
    </font>
    <font>
      <name val="Aptos Narrow"/>
      <b val="1"/>
      <color rgb="FF1E40AF"/>
      <sz val="11"/>
      <u val="single"/>
    </font>
  </fonts>
  <fills count="7">
    <fill>
      <patternFill/>
    </fill>
    <fill>
      <patternFill patternType="gray125"/>
    </fill>
    <fill>
      <patternFill patternType="solid">
        <fgColor rgb="FFDBEAFE"/>
        <bgColor rgb="FFDBEAFE"/>
      </patternFill>
    </fill>
    <fill>
      <patternFill patternType="solid">
        <fgColor rgb="FF1E40AF"/>
        <bgColor rgb="FF1E40AF"/>
      </patternFill>
    </fill>
    <fill>
      <patternFill patternType="solid">
        <fgColor rgb="FF1F2937"/>
        <b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</fills>
  <borders count="20">
    <border>
      <left/>
      <right/>
      <top/>
      <bottom/>
      <diagonal/>
    </border>
    <border>
      <left style="dashed">
        <color rgb="FF9CA3AF"/>
      </left>
      <right style="dashed">
        <color rgb="FF9CA3AF"/>
      </right>
      <top style="dashed">
        <color rgb="FF9CA3AF"/>
      </top>
      <bottom style="thin">
        <color rgb="FF9CA3AF"/>
      </bottom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right style="thin">
        <color rgb="FF9CA3AF"/>
      </right>
      <top style="thin">
        <color rgb="FF9CA3AF"/>
      </top>
    </border>
    <border>
      <left style="thin">
        <color rgb="FF9CA3AF"/>
      </left>
      <right style="thin">
        <color rgb="FF9CA3AF"/>
      </right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right style="medium">
        <color rgb="FFFFFFFF"/>
      </right>
    </border>
    <border>
      <bottom style="thick">
        <color rgb="FF1E40AF"/>
      </bottom>
    </border>
    <border>
      <top style="thin">
        <color rgb="FFE5E7EB"/>
      </top>
    </border>
    <border>
      <top style="medium">
        <color rgb="FF1E40AF"/>
      </top>
    </border>
    <border>
      <bottom style="thin">
        <color rgb="FF1F2937"/>
      </bottom>
    </border>
    <border>
      <left style="thin">
        <color rgb="FF9CA3AF"/>
      </left>
      <top style="thin">
        <color rgb="FF9CA3AF"/>
      </top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left style="thin">
        <color rgb="FF9CA3AF"/>
      </left>
    </border>
    <border/>
    <border>
      <right style="thin">
        <color rgb="FF9CA3AF"/>
      </right>
    </border>
    <border>
      <left style="thin">
        <color rgb="FF9CA3AF"/>
      </left>
      <bottom style="thin">
        <color rgb="FF9CA3AF"/>
      </bottom>
    </border>
    <border>
      <bottom style="thin">
        <color rgb="FF9CA3AF"/>
      </bottom>
    </border>
    <border>
      <right style="thin">
        <color rgb="FF9CA3AF"/>
      </right>
      <bottom style="thin">
        <color rgb="FF9CA3A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9" fillId="0" borderId="7" pivotButton="0" quotePrefix="0" xfId="0"/>
    <xf numFmtId="0" fontId="1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5" borderId="2" pivotButton="0" quotePrefix="0" xfId="0"/>
    <xf numFmtId="0" fontId="18" fillId="0" borderId="0" applyAlignment="1" pivotButton="0" quotePrefix="0" xfId="0">
      <alignment horizontal="left" vertical="top" wrapText="1"/>
    </xf>
    <xf numFmtId="0" fontId="19" fillId="3" borderId="1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20" fillId="6" borderId="14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8" fillId="6" borderId="17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6" fillId="2" borderId="3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5" fillId="2" borderId="2" applyAlignment="1" applyProtection="1" pivotButton="0" quotePrefix="0" xfId="0">
      <alignment horizontal="left" vertical="center"/>
      <protection locked="0" hidden="0"/>
    </xf>
    <xf numFmtId="0" fontId="6" fillId="2" borderId="4" applyAlignment="1" applyProtection="1" pivotButton="0" quotePrefix="0" xfId="0">
      <alignment horizontal="left" vertical="center"/>
      <protection locked="0" hidden="0"/>
    </xf>
    <xf numFmtId="0" fontId="6" fillId="2" borderId="5" applyAlignment="1" applyProtection="1" pivotButton="0" quotePrefix="0" xfId="0">
      <alignment horizontal="left" vertical="center"/>
      <protection locked="0" hidden="0"/>
    </xf>
    <xf numFmtId="0" fontId="7" fillId="3" borderId="6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164" fontId="8" fillId="4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10" fillId="2" borderId="0" applyAlignment="1" applyProtection="1" pivotButton="0" quotePrefix="0" xfId="0">
      <alignment horizontal="left" vertical="center"/>
      <protection locked="0" hidden="0"/>
    </xf>
    <xf numFmtId="165" fontId="10" fillId="2" borderId="0" applyAlignment="1" applyProtection="1" pivotButton="0" quotePrefix="0" xfId="0">
      <alignment horizontal="center" vertical="center"/>
      <protection locked="0" hidden="0"/>
    </xf>
    <xf numFmtId="166" fontId="10" fillId="2" borderId="0" applyAlignment="1" applyProtection="1" pivotButton="0" quotePrefix="0" xfId="0">
      <alignment horizontal="center" vertical="center"/>
      <protection locked="0" hidden="0"/>
    </xf>
    <xf numFmtId="166" fontId="10" fillId="0" borderId="0" applyAlignment="1" pivotButton="0" quotePrefix="0" xfId="0">
      <alignment horizontal="right" vertical="center"/>
    </xf>
    <xf numFmtId="9" fontId="10" fillId="2" borderId="0" applyAlignment="1" applyProtection="1" pivotButton="0" quotePrefix="0" xfId="0">
      <alignment horizontal="center" vertical="center"/>
      <protection locked="0" hidden="0"/>
    </xf>
    <xf numFmtId="0" fontId="11" fillId="0" borderId="8" applyAlignment="1" pivotButton="0" quotePrefix="0" xfId="0">
      <alignment horizontal="right" vertical="center"/>
    </xf>
    <xf numFmtId="166" fontId="11" fillId="0" borderId="8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0" fontId="12" fillId="0" borderId="9" applyAlignment="1" pivotButton="0" quotePrefix="0" xfId="0">
      <alignment horizontal="right" vertical="center"/>
    </xf>
    <xf numFmtId="166" fontId="12" fillId="0" borderId="9" applyAlignment="1" pivotButton="0" quotePrefix="0" xfId="0">
      <alignment horizontal="right" vertical="center"/>
    </xf>
    <xf numFmtId="0" fontId="13" fillId="2" borderId="2" applyAlignment="1" applyProtection="1" pivotButton="0" quotePrefix="0" xfId="0">
      <alignment horizontal="left" vertical="top" wrapText="1"/>
      <protection locked="0" hidden="0"/>
    </xf>
    <xf numFmtId="0" fontId="0" fillId="0" borderId="10" applyAlignment="1" pivotButton="0" quotePrefix="0" xfId="0">
      <alignment horizontal="center" vertical="center"/>
    </xf>
    <xf numFmtId="0" fontId="14" fillId="0" borderId="8" applyProtection="1" pivotButton="0" quotePrefix="0" xfId="0">
      <protection locked="0" hidden="0"/>
    </xf>
    <xf numFmtId="0" fontId="15" fillId="0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sheets.co.uk" TargetMode="External" Id="rId1" /><Relationship Type="http://schemas.openxmlformats.org/officeDocument/2006/relationships/hyperlink" Target="https://aligned.ta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3.43" customWidth="1" min="1" max="1"/>
    <col width="60" customWidth="1" min="2" max="2"/>
    <col width="20" customWidth="1" min="3" max="3"/>
    <col width="20" customWidth="1" min="4" max="4"/>
    <col width="20" customWidth="1" min="5" max="5"/>
  </cols>
  <sheetData>
    <row r="2" ht="36" customHeight="1">
      <c r="B2" s="1" t="inlineStr">
        <is>
          <t>Purchase Order TEMPLATE</t>
        </is>
      </c>
    </row>
    <row r="3" ht="18" customHeight="1">
      <c r="B3" s="2" t="inlineStr">
        <is>
          <t>Professional purchase order for supplier orders</t>
        </is>
      </c>
    </row>
    <row r="5" ht="20" customHeight="1">
      <c r="B5" s="3" t="inlineStr">
        <is>
          <t>How to Use</t>
        </is>
      </c>
    </row>
    <row r="6" ht="18" customHeight="1">
      <c r="B6" s="4" t="inlineStr">
        <is>
          <t>1. Enter your company details in the footer (company name, address, contact, VAT number)</t>
        </is>
      </c>
    </row>
    <row r="7" ht="18" customHeight="1">
      <c r="B7" s="4" t="inlineStr">
        <is>
          <t>2. Fill in the supplier information in the left-hand card (name, address, contact details)</t>
        </is>
      </c>
    </row>
    <row r="8" ht="18" customHeight="1">
      <c r="B8" s="4" t="inlineStr">
        <is>
          <t>3. Enter the PO details in the right-hand card (PO number, order date, required-by date, buyer, delivery terms)</t>
        </is>
      </c>
    </row>
    <row r="9" ht="18" customHeight="1">
      <c r="B9" s="4" t="inlineStr">
        <is>
          <t>4. Add line items in the table — enter description, quantity, unit price, and select the VAT rate</t>
        </is>
      </c>
    </row>
    <row r="10" ht="18" customHeight="1">
      <c r="B10" s="4" t="inlineStr">
        <is>
          <t>5. The net, VAT, and amount columns calculate automatically</t>
        </is>
      </c>
    </row>
    <row r="11" ht="18" customHeight="1">
      <c r="B11" s="4" t="inlineStr">
        <is>
          <t>6. Add any notes or delivery instructions in the notes box</t>
        </is>
      </c>
    </row>
    <row r="12" ht="18" customHeight="1">
      <c r="B12" s="4" t="inlineStr">
        <is>
          <t>7. Print or save as PDF when ready</t>
        </is>
      </c>
    </row>
    <row r="14" ht="20" customHeight="1">
      <c r="B14" s="3" t="inlineStr">
        <is>
          <t>Notes</t>
        </is>
      </c>
    </row>
    <row r="15" ht="18" customHeight="1">
      <c r="B15" s="4" t="inlineStr">
        <is>
          <t>• Blue cells are for your input — totals calculate automatically</t>
        </is>
      </c>
    </row>
    <row r="16" ht="18" customHeight="1">
      <c r="B16" s="4" t="inlineStr">
        <is>
          <t>• VAT rates are per line — choose 0%, 5%, or 20% from the dropdown</t>
        </is>
      </c>
    </row>
    <row r="17" ht="18" customHeight="1">
      <c r="B17" s="4" t="inlineStr">
        <is>
          <t>• Order total updates automatically from the line items</t>
        </is>
      </c>
    </row>
    <row r="18" ht="18" customHeight="1">
      <c r="B18" s="4" t="inlineStr">
        <is>
          <t>• Only blue cells can be edited — calculated cells are locked</t>
        </is>
      </c>
    </row>
    <row r="20" ht="20" customHeight="1">
      <c r="B20" s="3" t="inlineStr">
        <is>
          <t>Key</t>
        </is>
      </c>
    </row>
    <row r="21" ht="22" customHeight="1">
      <c r="B21" s="5" t="n"/>
      <c r="D21" s="2" t="inlineStr">
        <is>
          <t>You complete these</t>
        </is>
      </c>
    </row>
    <row r="22" ht="22" customHeight="1">
      <c r="B22" s="6" t="n"/>
      <c r="D22" s="2" t="inlineStr">
        <is>
          <t>Calculated automatically &amp; locked (read-only)</t>
        </is>
      </c>
    </row>
    <row r="24" ht="18" customHeight="1">
      <c r="B24" s="7" t="inlineStr">
        <is>
          <t>Table columns: B-D (Description, Qty, Unit price) = input | E (Net) = calculated | F (VAT %) = input | G-H (VAT, Amount) = calculated</t>
        </is>
      </c>
    </row>
    <row r="26" ht="24" customHeight="1">
      <c r="B26" s="8" t="inlineStr">
        <is>
          <t>Get more from your spreadsheets</t>
        </is>
      </c>
      <c r="C26" s="9" t="n"/>
      <c r="D26" s="9" t="n"/>
      <c r="E26" s="10" t="n"/>
    </row>
    <row r="27" ht="22" customHeight="1">
      <c r="B27" s="11" t="inlineStr">
        <is>
          <t>OpenSheets — browse more free business templates</t>
        </is>
      </c>
      <c r="C27" s="12" t="n"/>
      <c r="D27" s="12" t="n"/>
      <c r="E27" s="13" t="n"/>
    </row>
    <row r="28" ht="22" customHeight="1">
      <c r="B28" s="11" t="inlineStr">
        <is>
          <t>Aligned.tax — file your MTD VAT &amp; Income Tax returns from your spreadsheet</t>
        </is>
      </c>
      <c r="C28" s="12" t="n"/>
      <c r="D28" s="12" t="n"/>
      <c r="E28" s="13" t="n"/>
    </row>
    <row r="29" ht="18" customHeight="1">
      <c r="B29" s="14" t="inlineStr">
        <is>
          <t>Free to use • No sign-up required</t>
        </is>
      </c>
      <c r="C29" s="15" t="n"/>
      <c r="D29" s="15" t="n"/>
      <c r="E29" s="16" t="n"/>
    </row>
  </sheetData>
  <mergeCells count="6">
    <mergeCell ref="B26:E26"/>
    <mergeCell ref="B21:C21"/>
    <mergeCell ref="B27:E27"/>
    <mergeCell ref="B29:E29"/>
    <mergeCell ref="B22:C22"/>
    <mergeCell ref="B28:E28"/>
  </mergeCells>
  <hyperlinks>
    <hyperlink xmlns:r="http://schemas.openxmlformats.org/officeDocument/2006/relationships" ref="B27" r:id="rId1"/>
    <hyperlink xmlns:r="http://schemas.openxmlformats.org/officeDocument/2006/relationships" ref="B28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42"/>
  <sheetViews>
    <sheetView showGridLines="0" workbookViewId="0">
      <selection activeCell="A1" sqref="A1"/>
    </sheetView>
  </sheetViews>
  <sheetFormatPr baseColWidth="8" defaultRowHeight="15"/>
  <cols>
    <col width="3.43" customWidth="1" min="1" max="1"/>
    <col width="47.57" customWidth="1" min="2" max="2"/>
    <col width="13.29" customWidth="1" min="3" max="3"/>
    <col width="16.14" customWidth="1" min="4" max="4"/>
    <col width="17.14" customWidth="1" min="5" max="5"/>
    <col width="11.43" customWidth="1" min="6" max="6"/>
    <col width="16.14" customWidth="1" min="7" max="7"/>
    <col width="18.14" customWidth="1" min="8" max="8"/>
    <col width="13" customWidth="1" min="9" max="9"/>
  </cols>
  <sheetData>
    <row r="2" ht="38.1" customHeight="1">
      <c r="B2" s="17" t="inlineStr">
        <is>
          <t>Purchase Order</t>
        </is>
      </c>
      <c r="G2" s="18" t="inlineStr">
        <is>
          <t>Add your logo here</t>
        </is>
      </c>
    </row>
    <row r="3" ht="18" customHeight="1">
      <c r="B3" s="19">
        <f>B40&amp;"   ·   "&amp;B41</f>
        <v/>
      </c>
    </row>
    <row r="4"/>
    <row r="6" ht="18.95" customHeight="1">
      <c r="B6" s="20" t="inlineStr">
        <is>
          <t>SUPPLIER</t>
        </is>
      </c>
      <c r="E6" s="21" t="inlineStr">
        <is>
          <t>PO NO.</t>
        </is>
      </c>
      <c r="G6" s="22" t="inlineStr">
        <is>
          <t>PO-0001</t>
        </is>
      </c>
      <c r="H6" s="23" t="n"/>
    </row>
    <row r="7" ht="18.95" customHeight="1">
      <c r="B7" s="24" t="inlineStr">
        <is>
          <t>Supplier name</t>
        </is>
      </c>
      <c r="C7" s="23" t="n"/>
      <c r="E7" s="21" t="inlineStr">
        <is>
          <t>ORDER DATE</t>
        </is>
      </c>
      <c r="G7" s="25">
        <f>DATE(2026,6,18)</f>
        <v/>
      </c>
      <c r="H7" s="23" t="n"/>
    </row>
    <row r="8" ht="18.95" customHeight="1">
      <c r="B8" s="24" t="inlineStr">
        <is>
          <t>Address</t>
        </is>
      </c>
      <c r="C8" s="23" t="n"/>
      <c r="E8" s="21" t="inlineStr">
        <is>
          <t>REQUIRED BY</t>
        </is>
      </c>
      <c r="G8" s="25">
        <f>DATE(2026,7,2)</f>
        <v/>
      </c>
      <c r="H8" s="23" t="n"/>
    </row>
    <row r="9" ht="18.95" customHeight="1">
      <c r="B9" s="24" t="inlineStr">
        <is>
          <t>Town / City</t>
        </is>
      </c>
      <c r="C9" s="23" t="n"/>
      <c r="E9" s="21" t="inlineStr">
        <is>
          <t>BUYER</t>
        </is>
      </c>
      <c r="G9" s="25" t="inlineStr">
        <is>
          <t>Buyer name</t>
        </is>
      </c>
      <c r="H9" s="23" t="n"/>
    </row>
    <row r="10" ht="18.95" customHeight="1">
      <c r="B10" s="24" t="inlineStr">
        <is>
          <t>County</t>
        </is>
      </c>
      <c r="C10" s="23" t="n"/>
      <c r="E10" s="21" t="inlineStr">
        <is>
          <t>DELIVERY TERMS</t>
        </is>
      </c>
      <c r="G10" s="26" t="inlineStr">
        <is>
          <t>Delivered</t>
        </is>
      </c>
      <c r="H10" s="23" t="n"/>
    </row>
    <row r="11" ht="18.95" customHeight="1">
      <c r="B11" s="24" t="inlineStr">
        <is>
          <t>Postcode</t>
        </is>
      </c>
      <c r="C11" s="23" t="n"/>
    </row>
    <row r="12" ht="18.95" customHeight="1">
      <c r="B12" s="24" t="inlineStr">
        <is>
          <t>Phone</t>
        </is>
      </c>
      <c r="C12" s="23" t="n"/>
    </row>
    <row r="13" ht="18.95" customHeight="1">
      <c r="B13" s="24" t="inlineStr">
        <is>
          <t>Email</t>
        </is>
      </c>
      <c r="C13" s="23" t="n"/>
    </row>
    <row r="15" ht="15.95" customHeight="1">
      <c r="B15" s="27" t="inlineStr">
        <is>
          <t>PO NO.</t>
        </is>
      </c>
      <c r="D15" s="27" t="inlineStr">
        <is>
          <t>ORDER DATE</t>
        </is>
      </c>
      <c r="F15" s="27" t="inlineStr">
        <is>
          <t>REQUIRED BY</t>
        </is>
      </c>
      <c r="H15" s="28" t="inlineStr">
        <is>
          <t>ORDER TOTAL</t>
        </is>
      </c>
    </row>
    <row r="16" ht="30" customHeight="1">
      <c r="B16" s="29">
        <f>G6</f>
        <v/>
      </c>
      <c r="D16" s="29">
        <f>G7</f>
        <v/>
      </c>
      <c r="F16" s="29">
        <f>G8</f>
        <v/>
      </c>
      <c r="H16" s="30">
        <f>H33</f>
        <v/>
      </c>
    </row>
    <row r="18" ht="24" customHeight="1">
      <c r="B18" s="31" t="inlineStr">
        <is>
          <t>Description / Part</t>
        </is>
      </c>
      <c r="C18" s="32" t="inlineStr">
        <is>
          <t>Qty</t>
        </is>
      </c>
      <c r="D18" s="32" t="inlineStr">
        <is>
          <t>Unit price</t>
        </is>
      </c>
      <c r="E18" s="33" t="inlineStr">
        <is>
          <t>Net</t>
        </is>
      </c>
      <c r="F18" s="32" t="inlineStr">
        <is>
          <t>VAT %</t>
        </is>
      </c>
      <c r="G18" s="33" t="inlineStr">
        <is>
          <t>VAT</t>
        </is>
      </c>
      <c r="H18" s="33" t="inlineStr">
        <is>
          <t>Amount</t>
        </is>
      </c>
    </row>
    <row r="19" ht="20.1" customHeight="1">
      <c r="B19" s="34" t="n"/>
      <c r="C19" s="35" t="n"/>
      <c r="D19" s="36" t="n"/>
      <c r="E19" s="37">
        <f>IF(AND(C19="",D19=""),"",C19*D19)</f>
        <v/>
      </c>
      <c r="F19" s="38" t="n">
        <v>0.05</v>
      </c>
      <c r="G19" s="37">
        <f>IF(E19="","",E19*F19)</f>
        <v/>
      </c>
      <c r="H19" s="37">
        <f>IF(E19="","",E19+G19)</f>
        <v/>
      </c>
    </row>
    <row r="20" ht="20.1" customHeight="1">
      <c r="B20" s="34" t="n"/>
      <c r="C20" s="35" t="n"/>
      <c r="D20" s="36" t="n"/>
      <c r="E20" s="37">
        <f>IF(AND(C20="",D20=""),"",C20*D20)</f>
        <v/>
      </c>
      <c r="F20" s="38" t="n">
        <v>0.2</v>
      </c>
      <c r="G20" s="37">
        <f>IF(E20="","",E20*F20)</f>
        <v/>
      </c>
      <c r="H20" s="37">
        <f>IF(E20="","",E20+G20)</f>
        <v/>
      </c>
    </row>
    <row r="21" ht="20.1" customHeight="1">
      <c r="B21" s="34" t="n"/>
      <c r="C21" s="35" t="n"/>
      <c r="D21" s="36" t="n"/>
      <c r="E21" s="37">
        <f>IF(AND(C21="",D21=""),"",C21*D21)</f>
        <v/>
      </c>
      <c r="F21" s="38" t="n">
        <v>0.2</v>
      </c>
      <c r="G21" s="37">
        <f>IF(E21="","",E21*F21)</f>
        <v/>
      </c>
      <c r="H21" s="37">
        <f>IF(E21="","",E21+G21)</f>
        <v/>
      </c>
    </row>
    <row r="22" ht="20.1" customHeight="1">
      <c r="B22" s="34" t="n"/>
      <c r="C22" s="35" t="n"/>
      <c r="D22" s="36" t="n"/>
      <c r="E22" s="37">
        <f>IF(AND(C22="",D22=""),"",C22*D22)</f>
        <v/>
      </c>
      <c r="F22" s="38" t="n">
        <v>0.2</v>
      </c>
      <c r="G22" s="37">
        <f>IF(E22="","",E22*F22)</f>
        <v/>
      </c>
      <c r="H22" s="37">
        <f>IF(E22="","",E22+G22)</f>
        <v/>
      </c>
    </row>
    <row r="23" ht="20.1" customHeight="1">
      <c r="B23" s="34" t="n"/>
      <c r="C23" s="35" t="n"/>
      <c r="D23" s="36" t="n"/>
      <c r="E23" s="37">
        <f>IF(AND(C23="",D23=""),"",C23*D23)</f>
        <v/>
      </c>
      <c r="F23" s="38" t="n">
        <v>0.2</v>
      </c>
      <c r="G23" s="37">
        <f>IF(E23="","",E23*F23)</f>
        <v/>
      </c>
      <c r="H23" s="37">
        <f>IF(E23="","",E23+G23)</f>
        <v/>
      </c>
    </row>
    <row r="24" ht="20.1" customHeight="1">
      <c r="B24" s="34" t="n"/>
      <c r="C24" s="35" t="n"/>
      <c r="D24" s="36" t="n"/>
      <c r="E24" s="37">
        <f>IF(AND(C24="",D24=""),"",C24*D24)</f>
        <v/>
      </c>
      <c r="F24" s="38" t="n">
        <v>0.2</v>
      </c>
      <c r="G24" s="37">
        <f>IF(E24="","",E24*F24)</f>
        <v/>
      </c>
      <c r="H24" s="37">
        <f>IF(E24="","",E24+G24)</f>
        <v/>
      </c>
    </row>
    <row r="25" ht="20.1" customHeight="1">
      <c r="B25" s="34" t="n"/>
      <c r="C25" s="35" t="n"/>
      <c r="D25" s="36" t="n"/>
      <c r="E25" s="37">
        <f>IF(AND(C25="",D25=""),"",C25*D25)</f>
        <v/>
      </c>
      <c r="F25" s="38" t="n">
        <v>0.2</v>
      </c>
      <c r="G25" s="37">
        <f>IF(E25="","",E25*F25)</f>
        <v/>
      </c>
      <c r="H25" s="37">
        <f>IF(E25="","",E25+G25)</f>
        <v/>
      </c>
    </row>
    <row r="26" ht="20.1" customHeight="1">
      <c r="B26" s="34" t="n"/>
      <c r="C26" s="35" t="n"/>
      <c r="D26" s="36" t="n"/>
      <c r="E26" s="37">
        <f>IF(AND(C26="",D26=""),"",C26*D26)</f>
        <v/>
      </c>
      <c r="F26" s="38" t="n">
        <v>0.2</v>
      </c>
      <c r="G26" s="37">
        <f>IF(E26="","",E26*F26)</f>
        <v/>
      </c>
      <c r="H26" s="37">
        <f>IF(E26="","",E26+G26)</f>
        <v/>
      </c>
    </row>
    <row r="27" ht="20.1" customHeight="1">
      <c r="B27" s="34" t="n"/>
      <c r="C27" s="35" t="n"/>
      <c r="D27" s="36" t="n"/>
      <c r="E27" s="37">
        <f>IF(AND(C27="",D27=""),"",C27*D27)</f>
        <v/>
      </c>
      <c r="F27" s="38" t="n">
        <v>0.2</v>
      </c>
      <c r="G27" s="37">
        <f>IF(E27="","",E27*F27)</f>
        <v/>
      </c>
      <c r="H27" s="37">
        <f>IF(E27="","",E27+G27)</f>
        <v/>
      </c>
    </row>
    <row r="28" ht="20.1" customHeight="1">
      <c r="B28" s="34" t="n"/>
      <c r="C28" s="35" t="n"/>
      <c r="D28" s="36" t="n"/>
      <c r="E28" s="37">
        <f>IF(AND(C28="",D28=""),"",C28*D28)</f>
        <v/>
      </c>
      <c r="F28" s="38" t="n">
        <v>0.2</v>
      </c>
      <c r="G28" s="37">
        <f>IF(E28="","",E28*F28)</f>
        <v/>
      </c>
      <c r="H28" s="37">
        <f>IF(E28="","",E28+G28)</f>
        <v/>
      </c>
    </row>
    <row r="29" ht="20.1" customHeight="1">
      <c r="B29" s="34" t="n"/>
      <c r="C29" s="35" t="n"/>
      <c r="D29" s="36" t="n"/>
      <c r="E29" s="37">
        <f>IF(AND(C29="",D29=""),"",C29*D29)</f>
        <v/>
      </c>
      <c r="F29" s="38" t="n">
        <v>0.2</v>
      </c>
      <c r="G29" s="37">
        <f>IF(E29="","",E29*F29)</f>
        <v/>
      </c>
      <c r="H29" s="37">
        <f>IF(E29="","",E29+G29)</f>
        <v/>
      </c>
    </row>
    <row r="30" ht="20.1" customHeight="1">
      <c r="B30" s="34" t="n"/>
      <c r="C30" s="35" t="n"/>
      <c r="D30" s="36" t="n"/>
      <c r="E30" s="37">
        <f>IF(AND(C30="",D30=""),"",C30*D30)</f>
        <v/>
      </c>
      <c r="F30" s="38" t="n">
        <v>0.2</v>
      </c>
      <c r="G30" s="37">
        <f>IF(E30="","",E30*F30)</f>
        <v/>
      </c>
      <c r="H30" s="37">
        <f>IF(E30="","",E30+G30)</f>
        <v/>
      </c>
    </row>
    <row r="31">
      <c r="F31" s="39" t="inlineStr">
        <is>
          <t>Subtotal</t>
        </is>
      </c>
      <c r="H31" s="40">
        <f>SUM(E19:E30)</f>
        <v/>
      </c>
    </row>
    <row r="32">
      <c r="F32" s="41" t="inlineStr">
        <is>
          <t>VAT</t>
        </is>
      </c>
      <c r="H32" s="42">
        <f>SUM(G19:G30)</f>
        <v/>
      </c>
    </row>
    <row r="33">
      <c r="F33" s="43" t="inlineStr">
        <is>
          <t>TOTAL</t>
        </is>
      </c>
      <c r="H33" s="44">
        <f>H31+H32</f>
        <v/>
      </c>
    </row>
    <row r="35" ht="18" customHeight="1">
      <c r="B35" s="20" t="inlineStr">
        <is>
          <t>NOTES</t>
        </is>
      </c>
      <c r="F35" s="21" t="inlineStr">
        <is>
          <t>Issued by, signature:</t>
        </is>
      </c>
    </row>
    <row r="36" ht="21.95" customHeight="1">
      <c r="B36" s="45" t="inlineStr">
        <is>
          <t>Delivery instructions, references, special terms…</t>
        </is>
      </c>
      <c r="C36" s="23" t="n"/>
      <c r="D36" s="23" t="n"/>
      <c r="F36" s="46" t="n"/>
    </row>
    <row r="37">
      <c r="B37" s="23" t="n"/>
      <c r="C37" s="23" t="n"/>
      <c r="D37" s="23" t="n"/>
    </row>
    <row r="38">
      <c r="B38" s="23" t="n"/>
      <c r="C38" s="23" t="n"/>
      <c r="D38" s="23" t="n"/>
    </row>
    <row r="40" ht="18" customHeight="1">
      <c r="B40" s="47" t="inlineStr">
        <is>
          <t>Your Company Ltd</t>
        </is>
      </c>
    </row>
    <row r="41" ht="15.95" customHeight="1">
      <c r="B41" s="48" t="inlineStr">
        <is>
          <t>123 Example Street, London, EC1A 1BB</t>
        </is>
      </c>
    </row>
    <row r="42" ht="15.95" customHeight="1">
      <c r="B42" s="48" t="inlineStr">
        <is>
          <t>Tel 020 0000 0000   ·   accounts@yourcompany.co.uk   ·   VAT Reg GB000000000</t>
        </is>
      </c>
    </row>
  </sheetData>
  <sheetProtection selectLockedCells="1" selectUnlockedCells="1" sheet="1" objects="1" insertRows="0" insertHyperlinks="1" autoFilter="0" scenarios="0" formatColumns="0" deleteColumns="0" insertColumns="0" pivotTables="0" deleteRows="0" formatCells="0" formatRows="0" sort="0"/>
  <mergeCells count="28">
    <mergeCell ref="B16:C16"/>
    <mergeCell ref="B7:C7"/>
    <mergeCell ref="F16:G16"/>
    <mergeCell ref="G8:H8"/>
    <mergeCell ref="E8:F8"/>
    <mergeCell ref="B12:C12"/>
    <mergeCell ref="G2:H4"/>
    <mergeCell ref="B11:C11"/>
    <mergeCell ref="E10:F10"/>
    <mergeCell ref="G7:H7"/>
    <mergeCell ref="F15:G15"/>
    <mergeCell ref="G10:H10"/>
    <mergeCell ref="F33:G33"/>
    <mergeCell ref="G6:H6"/>
    <mergeCell ref="F32:G32"/>
    <mergeCell ref="E9:F9"/>
    <mergeCell ref="B8:C8"/>
    <mergeCell ref="B13:C13"/>
    <mergeCell ref="D16:E16"/>
    <mergeCell ref="E6:F6"/>
    <mergeCell ref="B36:D38"/>
    <mergeCell ref="B10:C10"/>
    <mergeCell ref="F31:G31"/>
    <mergeCell ref="B9:C9"/>
    <mergeCell ref="B15:C15"/>
    <mergeCell ref="E7:F7"/>
    <mergeCell ref="D15:E15"/>
    <mergeCell ref="G9:H9"/>
  </mergeCells>
  <dataValidations count="2">
    <dataValidation sqref="G10" showDropDown="0" showInputMessage="0" showErrorMessage="0" allowBlank="1" type="list">
      <formula1>"FOB,Delivered,Ex Works,CIF,DDP,DAP,CFR"</formula1>
    </dataValidation>
    <dataValidation sqref="F19 F20 F21 F22 F23 F24 F25 F26 F27 F28 F29 F30" showDropDown="0" showInputMessage="0" showErrorMessage="0" allowBlank="1" type="list">
      <formula1>"0,0.05,0.2"</formula1>
    </dataValidation>
  </dataValidations>
  <printOptions horizontalCentered="1"/>
  <pageMargins left="0.25" right="0.25" top="0.33" bottom="0.3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2026-06-18T18:37:40Z</dcterms:created>
  <dcterms:modified xsi:type="dcterms:W3CDTF">2026-06-18T18:37:40Z</dcterms:modified>
</cp:coreProperties>
</file>