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Tax Wor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£#,##0.0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22B49"/>
      <sz val="22"/>
    </font>
    <font>
      <name val="Calibri"/>
      <b val="1"/>
      <color rgb="007F8C8D"/>
      <sz val="14"/>
    </font>
    <font>
      <name val="Calibri"/>
      <b val="1"/>
      <color rgb="00122B49"/>
      <sz val="13"/>
    </font>
    <font>
      <name val="Calibri"/>
      <b val="1"/>
      <color rgb="002C3E50"/>
      <sz val="11"/>
    </font>
    <font>
      <name val="Calibri"/>
      <color rgb="002980B9"/>
      <sz val="11"/>
    </font>
    <font>
      <name val="Calibri"/>
      <color rgb="002C3E50"/>
      <sz val="11"/>
    </font>
    <font>
      <name val="Calibri"/>
      <b val="1"/>
      <color rgb="00FFFFFF"/>
      <sz val="11"/>
    </font>
    <font>
      <name val="Calibri"/>
      <color rgb="007F8C8D"/>
      <sz val="10"/>
    </font>
    <font>
      <name val="Calibri"/>
      <b val="1"/>
      <color rgb="00122B49"/>
      <sz val="11"/>
    </font>
    <font>
      <name val="Calibri"/>
      <color rgb="0027AE60"/>
      <sz val="11"/>
    </font>
    <font>
      <name val="Calibri"/>
      <b val="1"/>
      <color rgb="0027AE60"/>
      <sz val="11"/>
    </font>
    <font>
      <name val="Calibri"/>
      <b val="1"/>
      <color rgb="00E74C3C"/>
      <sz val="11"/>
    </font>
    <font>
      <name val="Calibri"/>
      <b val="1"/>
      <color rgb="00122B49"/>
      <sz val="12"/>
    </font>
    <font>
      <name val="Calibri"/>
      <b val="1"/>
      <color rgb="00FFFFFF"/>
      <sz val="12"/>
    </font>
    <font>
      <name val="Calibri"/>
      <b val="1"/>
      <color rgb="00122B49"/>
      <sz val="16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F5F7FA"/>
        <bgColor rgb="00F5F7FA"/>
      </patternFill>
    </fill>
    <fill>
      <patternFill patternType="solid">
        <fgColor rgb="00122B49"/>
        <bgColor rgb="00122B49"/>
      </patternFill>
    </fill>
    <fill>
      <patternFill patternType="solid">
        <fgColor rgb="00E8F6F3"/>
        <bgColor rgb="00E8F6F3"/>
      </patternFill>
    </fill>
    <fill>
      <patternFill patternType="solid">
        <fgColor rgb="00FFF3E0"/>
        <bgColor rgb="00FFF3E0"/>
      </patternFill>
    </fill>
  </fills>
  <borders count="5">
    <border>
      <left/>
      <right/>
      <top/>
      <bottom/>
      <diagonal/>
    </border>
    <border>
      <bottom style="medium">
        <color rgb="00122B49"/>
      </bottom>
    </border>
    <border>
      <top style="medium">
        <color rgb="00122B49"/>
      </top>
      <bottom style="double">
        <color rgb="00122B49"/>
      </bottom>
    </border>
    <border>
      <bottom style="thin">
        <color rgb="00D5D8DC"/>
      </bottom>
    </border>
    <border>
      <top style="medium">
        <color rgb="00122B49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1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/>
    </xf>
    <xf numFmtId="0" fontId="0" fillId="5" borderId="2" pivotButton="0" quotePrefix="0" xfId="0"/>
    <xf numFmtId="166" fontId="9" fillId="5" borderId="2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6" fontId="0" fillId="3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3" borderId="3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3" borderId="0" pivotButton="0" quotePrefix="0" xfId="0"/>
    <xf numFmtId="0" fontId="11" fillId="0" borderId="0" pivotButton="0" quotePrefix="0" xfId="0"/>
    <xf numFmtId="166" fontId="10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9" fillId="5" borderId="4" applyAlignment="1" pivotButton="0" quotePrefix="0" xfId="0">
      <alignment horizontal="left" vertical="center"/>
    </xf>
    <xf numFmtId="166" fontId="9" fillId="5" borderId="4" applyAlignment="1" pivotButton="0" quotePrefix="0" xfId="0">
      <alignment horizontal="right" vertical="center"/>
    </xf>
    <xf numFmtId="0" fontId="13" fillId="6" borderId="2" pivotButton="0" quotePrefix="0" xfId="0"/>
    <xf numFmtId="166" fontId="13" fillId="6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7" fillId="4" borderId="1" pivotButton="0" quotePrefix="0" xfId="0"/>
    <xf numFmtId="0" fontId="14" fillId="4" borderId="0" applyAlignment="1" pivotButton="0" quotePrefix="0" xfId="0">
      <alignment horizontal="left" vertical="center"/>
    </xf>
    <xf numFmtId="0" fontId="0" fillId="4" borderId="0" pivotButton="0" quotePrefix="0" xfId="0"/>
    <xf numFmtId="166" fontId="13" fillId="6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/>
    </xf>
    <xf numFmtId="0" fontId="13" fillId="0" borderId="0" pivotButton="0" quotePrefix="0" xfId="0"/>
    <xf numFmtId="166" fontId="15" fillId="6" borderId="2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5" customWidth="1" min="2" max="2"/>
    <col width="30" customWidth="1" min="3" max="3"/>
    <col width="20" customWidth="1" min="4" max="4"/>
    <col width="3" customWidth="1" min="5" max="5"/>
  </cols>
  <sheetData>
    <row r="2" ht="40" customHeight="1">
      <c r="B2" s="1" t="inlineStr">
        <is>
          <t>RENTAL PROPERTY INCOME &amp; EXPENSES</t>
        </is>
      </c>
    </row>
    <row r="3" ht="25" customHeight="1">
      <c r="B3" s="2" t="inlineStr">
        <is>
          <t>For UK Landlords — Up to 5 Properties</t>
        </is>
      </c>
    </row>
    <row r="4" ht="6" customHeight="1">
      <c r="B4" s="3" t="n"/>
      <c r="C4" s="3" t="n"/>
      <c r="D4" s="3" t="n"/>
    </row>
    <row r="6" ht="25" customHeight="1">
      <c r="B6" s="4" t="inlineStr">
        <is>
          <t>LANDLORD INFORMATION</t>
        </is>
      </c>
    </row>
    <row r="7" ht="22" customHeight="1">
      <c r="B7" s="5" t="inlineStr">
        <is>
          <t>Name:</t>
        </is>
      </c>
      <c r="C7" s="6" t="inlineStr">
        <is>
          <t>[Enter landlord name]</t>
        </is>
      </c>
      <c r="D7" s="7" t="n"/>
    </row>
    <row r="8" ht="22" customHeight="1">
      <c r="B8" s="8" t="inlineStr">
        <is>
          <t>Tax Year:</t>
        </is>
      </c>
      <c r="C8" s="9" t="inlineStr">
        <is>
          <t>2025/26 (6 April 2025 — 5 April 2026)</t>
        </is>
      </c>
    </row>
    <row r="9" ht="22" customHeight="1">
      <c r="B9" s="5" t="inlineStr">
        <is>
          <t>UTR (Unique Tax Reference):</t>
        </is>
      </c>
      <c r="C9" s="6" t="inlineStr">
        <is>
          <t>[Enter your 10-digit UTR]</t>
        </is>
      </c>
      <c r="D9" s="7" t="n"/>
    </row>
    <row r="10" ht="22" customHeight="1">
      <c r="B10" s="8" t="inlineStr">
        <is>
          <t>Number of Properties:</t>
        </is>
      </c>
      <c r="C10" s="10" t="inlineStr">
        <is>
          <t>[Enter number]</t>
        </is>
      </c>
    </row>
    <row r="12" ht="25" customHeight="1">
      <c r="B12" s="4" t="inlineStr">
        <is>
          <t>WHAT THIS WORKBOOK DOES</t>
        </is>
      </c>
    </row>
    <row r="13" ht="20" customHeight="1">
      <c r="B13" s="5" t="inlineStr">
        <is>
          <t>1. Properties</t>
        </is>
      </c>
      <c r="C13" s="11" t="inlineStr">
        <is>
          <t>Record details for up to 5 rental properties</t>
        </is>
      </c>
      <c r="D13" s="7" t="n"/>
    </row>
    <row r="14" ht="20" customHeight="1">
      <c r="B14" s="8" t="inlineStr">
        <is>
          <t>2. Income</t>
        </is>
      </c>
      <c r="C14" s="9" t="inlineStr">
        <is>
          <t>Track monthly rental income per property</t>
        </is>
      </c>
    </row>
    <row r="15" ht="20" customHeight="1">
      <c r="B15" s="5" t="inlineStr">
        <is>
          <t>3. Expenses</t>
        </is>
      </c>
      <c r="C15" s="11" t="inlineStr">
        <is>
          <t>Log all property-related expenses by category</t>
        </is>
      </c>
      <c r="D15" s="7" t="n"/>
    </row>
    <row r="16" ht="20" customHeight="1">
      <c r="B16" s="8" t="inlineStr">
        <is>
          <t>4. Annual Summary</t>
        </is>
      </c>
      <c r="C16" s="9" t="inlineStr">
        <is>
          <t>Auto-calculates profit/loss per property and total</t>
        </is>
      </c>
    </row>
    <row r="17" ht="20" customHeight="1">
      <c r="B17" s="5" t="inlineStr">
        <is>
          <t>5. Tax Workings</t>
        </is>
      </c>
      <c r="C17" s="11" t="inlineStr">
        <is>
          <t>Mortgage interest relief, taxable profit, tax estimate</t>
        </is>
      </c>
      <c r="D17" s="7" t="n"/>
    </row>
    <row r="19" ht="25" customHeight="1">
      <c r="B19" s="4" t="inlineStr">
        <is>
          <t>SHEET INDEX</t>
        </is>
      </c>
    </row>
    <row r="20" ht="22" customHeight="1">
      <c r="B20" s="12" t="inlineStr">
        <is>
          <t>Sheet</t>
        </is>
      </c>
      <c r="C20" s="12" t="inlineStr">
        <is>
          <t>Description</t>
        </is>
      </c>
    </row>
    <row r="21" ht="20" customHeight="1">
      <c r="B21" s="8" t="inlineStr">
        <is>
          <t>Cover</t>
        </is>
      </c>
      <c r="C21" s="9" t="inlineStr">
        <is>
          <t>This page — instructions and navigation</t>
        </is>
      </c>
    </row>
    <row r="22" ht="20" customHeight="1">
      <c r="B22" s="5" t="inlineStr">
        <is>
          <t>Properties</t>
        </is>
      </c>
      <c r="C22" s="11" t="inlineStr">
        <is>
          <t>Details for up to 5 rental properties</t>
        </is>
      </c>
      <c r="D22" s="7" t="n"/>
    </row>
    <row r="23" ht="20" customHeight="1">
      <c r="B23" s="8" t="inlineStr">
        <is>
          <t>Income</t>
        </is>
      </c>
      <c r="C23" s="9" t="inlineStr">
        <is>
          <t>Monthly rent received per property</t>
        </is>
      </c>
    </row>
    <row r="24" ht="20" customHeight="1">
      <c r="B24" s="5" t="inlineStr">
        <is>
          <t>Expenses</t>
        </is>
      </c>
      <c r="C24" s="11" t="inlineStr">
        <is>
          <t>Property expenses by category</t>
        </is>
      </c>
      <c r="D24" s="7" t="n"/>
    </row>
    <row r="25" ht="20" customHeight="1">
      <c r="B25" s="8" t="inlineStr">
        <is>
          <t>Annual Summary</t>
        </is>
      </c>
      <c r="C25" s="9" t="inlineStr">
        <is>
          <t>Profit/loss per property and in total</t>
        </is>
      </c>
    </row>
    <row r="26" ht="20" customHeight="1">
      <c r="B26" s="5" t="inlineStr">
        <is>
          <t>Tax Workings</t>
        </is>
      </c>
      <c r="C26" s="11" t="inlineStr">
        <is>
          <t>Mortgage relief, taxable profit, tax estimate</t>
        </is>
      </c>
      <c r="D26" s="7" t="n"/>
    </row>
    <row r="28" ht="25" customHeight="1">
      <c r="B28" s="4" t="inlineStr">
        <is>
          <t>IMPORTANT NOTES</t>
        </is>
      </c>
    </row>
    <row r="29" ht="20" customHeight="1">
      <c r="B29" s="13" t="inlineStr">
        <is>
          <t>•</t>
        </is>
      </c>
      <c r="C29" s="14" t="inlineStr">
        <is>
          <t>Section 24: Mortgage interest is NOT deductible as an expense. You receive a 20% tax credit instead.</t>
        </is>
      </c>
    </row>
    <row r="30" ht="20" customHeight="1">
      <c r="B30" s="13" t="inlineStr">
        <is>
          <t>•</t>
        </is>
      </c>
      <c r="C30" s="14" t="inlineStr">
        <is>
          <t>Wear &amp; Tear allowance has been abolished. Use Replacement Relief for replacing furnishings only.</t>
        </is>
      </c>
    </row>
    <row r="31" ht="20" customHeight="1">
      <c r="B31" s="13" t="inlineStr">
        <is>
          <t>•</t>
        </is>
      </c>
      <c r="C31" s="14" t="inlineStr">
        <is>
          <t>Keep all receipts, invoices and bank statements for at least 5 years.</t>
        </is>
      </c>
    </row>
    <row r="32" ht="20" customHeight="1">
      <c r="B32" s="13" t="inlineStr">
        <is>
          <t>•</t>
        </is>
      </c>
      <c r="C32" s="14" t="inlineStr">
        <is>
          <t>Report property income on the UK Property pages of your Self Assessment tax return.</t>
        </is>
      </c>
    </row>
    <row r="33" ht="20" customHeight="1">
      <c r="B33" s="13" t="inlineStr">
        <is>
          <t>•</t>
        </is>
      </c>
      <c r="C33" s="14" t="inlineStr">
        <is>
          <t>If you let a room in your own home, you may qualify for the Rent a Room Scheme (£7,500 allowance).</t>
        </is>
      </c>
    </row>
  </sheetData>
  <mergeCells count="7">
    <mergeCell ref="B3:D3"/>
    <mergeCell ref="C29:D29"/>
    <mergeCell ref="C30:D30"/>
    <mergeCell ref="C32:D32"/>
    <mergeCell ref="C33:D33"/>
    <mergeCell ref="C31:D3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6" customWidth="1" min="2" max="2"/>
    <col width="30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2" ht="35" customHeight="1">
      <c r="B2" s="15" t="inlineStr">
        <is>
          <t>PROPERTY DETAILS</t>
        </is>
      </c>
    </row>
    <row r="3" ht="22" customHeight="1">
      <c r="B3" s="2" t="inlineStr">
        <is>
          <t>Enter details for each rental property</t>
        </is>
      </c>
    </row>
    <row r="4" ht="5" customHeight="1">
      <c r="B4" s="3" t="n"/>
      <c r="C4" s="3" t="n"/>
      <c r="D4" s="3" t="n"/>
      <c r="E4" s="3" t="n"/>
      <c r="F4" s="3" t="n"/>
      <c r="G4" s="3" t="n"/>
      <c r="H4" s="3" t="n"/>
      <c r="I4" s="3" t="n"/>
    </row>
    <row r="6" ht="28" customHeight="1">
      <c r="B6" s="16" t="inlineStr">
        <is>
          <t>Property</t>
        </is>
      </c>
      <c r="C6" s="17" t="inlineStr">
        <is>
          <t>Address</t>
        </is>
      </c>
      <c r="D6" s="16" t="inlineStr">
        <is>
          <t>Postcode</t>
        </is>
      </c>
      <c r="E6" s="16" t="inlineStr">
        <is>
          <t>Purchase Date</t>
        </is>
      </c>
      <c r="F6" s="16" t="inlineStr">
        <is>
          <t>Purchase Price</t>
        </is>
      </c>
      <c r="G6" s="16" t="inlineStr">
        <is>
          <t>Current Value</t>
        </is>
      </c>
      <c r="H6" s="16" t="inlineStr">
        <is>
          <t>Mortgage Lender</t>
        </is>
      </c>
      <c r="I6" s="16" t="inlineStr">
        <is>
          <t>Monthly Payment</t>
        </is>
      </c>
    </row>
    <row r="7" ht="24" customHeight="1">
      <c r="B7" s="18" t="inlineStr">
        <is>
          <t>Flat 1</t>
        </is>
      </c>
      <c r="C7" s="19" t="inlineStr">
        <is>
          <t>12 High Street, London</t>
        </is>
      </c>
      <c r="D7" s="18" t="inlineStr">
        <is>
          <t>W1A 1AA</t>
        </is>
      </c>
      <c r="E7" s="20" t="n">
        <v>43174</v>
      </c>
      <c r="F7" s="21" t="n">
        <v>285000</v>
      </c>
      <c r="G7" s="21" t="n">
        <v>340000</v>
      </c>
      <c r="H7" s="19" t="inlineStr">
        <is>
          <t>Nationwide BS</t>
        </is>
      </c>
      <c r="I7" s="21" t="n">
        <v>850</v>
      </c>
    </row>
    <row r="8" ht="24" customHeight="1">
      <c r="B8" s="22" t="inlineStr">
        <is>
          <t>Flat 2</t>
        </is>
      </c>
      <c r="C8" s="23" t="inlineStr">
        <is>
          <t>3 Oak Avenue, Manchester</t>
        </is>
      </c>
      <c r="D8" s="22" t="inlineStr">
        <is>
          <t>M1 1AA</t>
        </is>
      </c>
      <c r="E8" s="24" t="n">
        <v>43699</v>
      </c>
      <c r="F8" s="25" t="n">
        <v>175000</v>
      </c>
      <c r="G8" s="25" t="n">
        <v>195000</v>
      </c>
      <c r="H8" s="23" t="inlineStr">
        <is>
          <t>Halifax</t>
        </is>
      </c>
      <c r="I8" s="25" t="n">
        <v>520</v>
      </c>
    </row>
    <row r="9" ht="24" customHeight="1">
      <c r="B9" s="18" t="inlineStr">
        <is>
          <t>House 1</t>
        </is>
      </c>
      <c r="C9" s="19" t="inlineStr"/>
      <c r="D9" s="18" t="inlineStr"/>
      <c r="E9" s="18" t="n"/>
      <c r="F9" s="21" t="n"/>
      <c r="G9" s="21" t="n"/>
      <c r="H9" s="19" t="inlineStr"/>
      <c r="I9" s="21" t="n"/>
    </row>
    <row r="10" ht="24" customHeight="1">
      <c r="B10" s="22" t="inlineStr">
        <is>
          <t>House 2</t>
        </is>
      </c>
      <c r="C10" s="23" t="inlineStr"/>
      <c r="D10" s="22" t="inlineStr"/>
      <c r="E10" s="22" t="n"/>
      <c r="F10" s="25" t="n"/>
      <c r="G10" s="25" t="n"/>
      <c r="H10" s="23" t="inlineStr"/>
      <c r="I10" s="25" t="n"/>
    </row>
    <row r="11" ht="24" customHeight="1">
      <c r="B11" s="18" t="inlineStr">
        <is>
          <t>House 3</t>
        </is>
      </c>
      <c r="C11" s="19" t="inlineStr"/>
      <c r="D11" s="18" t="inlineStr"/>
      <c r="E11" s="18" t="n"/>
      <c r="F11" s="21" t="n"/>
      <c r="G11" s="21" t="n"/>
      <c r="H11" s="19" t="inlineStr"/>
      <c r="I11" s="21" t="n"/>
    </row>
    <row r="12" ht="28" customHeight="1">
      <c r="B12" s="26" t="inlineStr">
        <is>
          <t>TOTAL PORTFOLIO VALUE</t>
        </is>
      </c>
      <c r="C12" s="27" t="n"/>
      <c r="D12" s="27" t="n"/>
      <c r="E12" s="27" t="n"/>
      <c r="F12" s="28">
        <f>SUM(F7:F11)</f>
        <v/>
      </c>
      <c r="G12" s="28">
        <f>SUM(G7:G11)</f>
        <v/>
      </c>
      <c r="H12" s="27" t="n"/>
      <c r="I12" s="28">
        <f>SUM(I7:I11)</f>
        <v/>
      </c>
    </row>
  </sheetData>
  <mergeCells count="3">
    <mergeCell ref="B3:I3"/>
    <mergeCell ref="B2:I2"/>
    <mergeCell ref="B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2" ht="35" customHeight="1">
      <c r="B2" s="15" t="inlineStr">
        <is>
          <t>RENTAL INCOME</t>
        </is>
      </c>
    </row>
    <row r="3" ht="22" customHeight="1">
      <c r="B3" s="2" t="inlineStr">
        <is>
          <t>Record monthly rent received for each property</t>
        </is>
      </c>
    </row>
    <row r="4" ht="5" customHeight="1">
      <c r="B4" s="3" t="n"/>
      <c r="C4" s="3" t="n"/>
      <c r="D4" s="3" t="n"/>
      <c r="E4" s="3" t="n"/>
      <c r="F4" s="3" t="n"/>
      <c r="G4" s="3" t="n"/>
    </row>
    <row r="5" ht="24" customHeight="1">
      <c r="B5" s="16" t="inlineStr">
        <is>
          <t>Month</t>
        </is>
      </c>
      <c r="C5" s="29">
        <f>Properties!B7</f>
        <v/>
      </c>
      <c r="D5" s="29">
        <f>Properties!B8</f>
        <v/>
      </c>
      <c r="E5" s="29">
        <f>Properties!B9</f>
        <v/>
      </c>
      <c r="F5" s="29">
        <f>Properties!B10</f>
        <v/>
      </c>
      <c r="G5" s="16" t="inlineStr">
        <is>
          <t>TOTAL</t>
        </is>
      </c>
    </row>
    <row r="6" ht="22" customHeight="1">
      <c r="B6" s="30" t="inlineStr">
        <is>
          <t>April</t>
        </is>
      </c>
      <c r="C6" s="21" t="n">
        <v>1200</v>
      </c>
      <c r="D6" s="21" t="n">
        <v>850</v>
      </c>
      <c r="E6" s="31" t="n"/>
      <c r="F6" s="31" t="n"/>
      <c r="G6" s="32">
        <f>SUM(C6:F6)</f>
        <v/>
      </c>
    </row>
    <row r="7" ht="22" customHeight="1">
      <c r="B7" s="13" t="inlineStr">
        <is>
          <t>May</t>
        </is>
      </c>
      <c r="C7" s="25" t="n">
        <v>1200</v>
      </c>
      <c r="D7" s="25" t="n">
        <v>850</v>
      </c>
      <c r="E7" s="33" t="n"/>
      <c r="F7" s="33" t="n"/>
      <c r="G7" s="34">
        <f>SUM(C7:F7)</f>
        <v/>
      </c>
    </row>
    <row r="8" ht="22" customHeight="1">
      <c r="B8" s="30" t="inlineStr">
        <is>
          <t>June</t>
        </is>
      </c>
      <c r="C8" s="21" t="n">
        <v>1200</v>
      </c>
      <c r="D8" s="21" t="n">
        <v>850</v>
      </c>
      <c r="E8" s="31" t="n"/>
      <c r="F8" s="31" t="n"/>
      <c r="G8" s="32">
        <f>SUM(C8:F8)</f>
        <v/>
      </c>
    </row>
    <row r="9" ht="22" customHeight="1">
      <c r="B9" s="13" t="inlineStr">
        <is>
          <t>July</t>
        </is>
      </c>
      <c r="C9" s="25" t="n">
        <v>1200</v>
      </c>
      <c r="D9" s="25" t="n">
        <v>850</v>
      </c>
      <c r="E9" s="33" t="n"/>
      <c r="F9" s="33" t="n"/>
      <c r="G9" s="34">
        <f>SUM(C9:F9)</f>
        <v/>
      </c>
    </row>
    <row r="10" ht="22" customHeight="1">
      <c r="B10" s="30" t="inlineStr">
        <is>
          <t>August</t>
        </is>
      </c>
      <c r="C10" s="21" t="n">
        <v>1200</v>
      </c>
      <c r="D10" s="21" t="n">
        <v>850</v>
      </c>
      <c r="E10" s="31" t="n"/>
      <c r="F10" s="31" t="n"/>
      <c r="G10" s="32">
        <f>SUM(C10:F10)</f>
        <v/>
      </c>
    </row>
    <row r="11" ht="22" customHeight="1">
      <c r="B11" s="13" t="inlineStr">
        <is>
          <t>September</t>
        </is>
      </c>
      <c r="C11" s="25" t="n">
        <v>1200</v>
      </c>
      <c r="D11" s="25" t="n">
        <v>850</v>
      </c>
      <c r="E11" s="33" t="n"/>
      <c r="F11" s="33" t="n"/>
      <c r="G11" s="34">
        <f>SUM(C11:F11)</f>
        <v/>
      </c>
    </row>
    <row r="12" ht="22" customHeight="1">
      <c r="B12" s="30" t="inlineStr">
        <is>
          <t>October</t>
        </is>
      </c>
      <c r="C12" s="21" t="n">
        <v>1200</v>
      </c>
      <c r="D12" s="21" t="n">
        <v>850</v>
      </c>
      <c r="E12" s="31" t="n"/>
      <c r="F12" s="31" t="n"/>
      <c r="G12" s="32">
        <f>SUM(C12:F12)</f>
        <v/>
      </c>
    </row>
    <row r="13" ht="22" customHeight="1">
      <c r="B13" s="13" t="inlineStr">
        <is>
          <t>November</t>
        </is>
      </c>
      <c r="C13" s="25" t="n">
        <v>1200</v>
      </c>
      <c r="D13" s="25" t="n">
        <v>850</v>
      </c>
      <c r="E13" s="33" t="n"/>
      <c r="F13" s="33" t="n"/>
      <c r="G13" s="34">
        <f>SUM(C13:F13)</f>
        <v/>
      </c>
    </row>
    <row r="14" ht="22" customHeight="1">
      <c r="B14" s="30" t="inlineStr">
        <is>
          <t>December</t>
        </is>
      </c>
      <c r="C14" s="21" t="n">
        <v>1200</v>
      </c>
      <c r="D14" s="21" t="n">
        <v>850</v>
      </c>
      <c r="E14" s="31" t="n"/>
      <c r="F14" s="31" t="n"/>
      <c r="G14" s="32">
        <f>SUM(C14:F14)</f>
        <v/>
      </c>
    </row>
    <row r="15" ht="22" customHeight="1">
      <c r="B15" s="13" t="inlineStr">
        <is>
          <t>January</t>
        </is>
      </c>
      <c r="C15" s="25" t="n">
        <v>1200</v>
      </c>
      <c r="D15" s="25" t="n">
        <v>850</v>
      </c>
      <c r="E15" s="33" t="n"/>
      <c r="F15" s="33" t="n"/>
      <c r="G15" s="34">
        <f>SUM(C15:F15)</f>
        <v/>
      </c>
    </row>
    <row r="16" ht="22" customHeight="1">
      <c r="B16" s="30" t="inlineStr">
        <is>
          <t>February</t>
        </is>
      </c>
      <c r="C16" s="21" t="n">
        <v>1200</v>
      </c>
      <c r="D16" s="21" t="n">
        <v>850</v>
      </c>
      <c r="E16" s="31" t="n"/>
      <c r="F16" s="31" t="n"/>
      <c r="G16" s="32">
        <f>SUM(C16:F16)</f>
        <v/>
      </c>
    </row>
    <row r="17" ht="22" customHeight="1">
      <c r="B17" s="13" t="inlineStr">
        <is>
          <t>March</t>
        </is>
      </c>
      <c r="C17" s="25" t="n">
        <v>1200</v>
      </c>
      <c r="D17" s="25" t="n">
        <v>850</v>
      </c>
      <c r="E17" s="33" t="n"/>
      <c r="F17" s="33" t="n"/>
      <c r="G17" s="34">
        <f>SUM(C17:F17)</f>
        <v/>
      </c>
    </row>
    <row r="18" ht="28" customHeight="1">
      <c r="B18" s="35" t="inlineStr">
        <is>
          <t>TOTAL</t>
        </is>
      </c>
      <c r="C18" s="28">
        <f>SUM(C6:C17)</f>
        <v/>
      </c>
      <c r="D18" s="28">
        <f>SUM(D6:D17)</f>
        <v/>
      </c>
      <c r="E18" s="28">
        <f>SUM(E6:E17)</f>
        <v/>
      </c>
      <c r="F18" s="28">
        <f>SUM(F6:F17)</f>
        <v/>
      </c>
      <c r="G18" s="28">
        <f>SUM(G6:G17)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4" customWidth="1" min="3" max="3"/>
    <col width="28" customWidth="1" min="4" max="4"/>
    <col width="36" customWidth="1" min="5" max="5"/>
    <col width="16" customWidth="1" min="6" max="6"/>
  </cols>
  <sheetData>
    <row r="2" ht="35" customHeight="1">
      <c r="B2" s="15" t="inlineStr">
        <is>
          <t>PROPERTY EXPENSES</t>
        </is>
      </c>
    </row>
    <row r="3" ht="22" customHeight="1">
      <c r="B3" s="2" t="inlineStr">
        <is>
          <t>Log all property-related expenses throughout the tax year</t>
        </is>
      </c>
    </row>
    <row r="4" ht="5" customHeight="1">
      <c r="B4" s="3" t="n"/>
      <c r="C4" s="3" t="n"/>
      <c r="D4" s="3" t="n"/>
      <c r="E4" s="3" t="n"/>
      <c r="F4" s="3" t="n"/>
    </row>
    <row r="6" ht="28" customHeight="1">
      <c r="B6" s="16" t="inlineStr">
        <is>
          <t>Date</t>
        </is>
      </c>
      <c r="C6" s="16" t="inlineStr">
        <is>
          <t>Property</t>
        </is>
      </c>
      <c r="D6" s="17" t="inlineStr">
        <is>
          <t>Category</t>
        </is>
      </c>
      <c r="E6" s="17" t="inlineStr">
        <is>
          <t>Description</t>
        </is>
      </c>
      <c r="F6" s="16" t="inlineStr">
        <is>
          <t>Amount</t>
        </is>
      </c>
    </row>
    <row r="7" ht="22" customHeight="1">
      <c r="B7" s="36" t="n">
        <v>45748</v>
      </c>
      <c r="C7" s="18" t="inlineStr">
        <is>
          <t>Flat 1</t>
        </is>
      </c>
      <c r="D7" s="19" t="inlineStr">
        <is>
          <t>Agent Fees</t>
        </is>
      </c>
      <c r="E7" s="37" t="inlineStr">
        <is>
          <t>Letting agent commission (10%)</t>
        </is>
      </c>
      <c r="F7" s="21" t="n">
        <v>120</v>
      </c>
    </row>
    <row r="8" ht="22" customHeight="1">
      <c r="B8" s="38" t="n">
        <v>45750</v>
      </c>
      <c r="C8" s="22" t="inlineStr">
        <is>
          <t>Flat 1</t>
        </is>
      </c>
      <c r="D8" s="23" t="inlineStr">
        <is>
          <t>Insurance</t>
        </is>
      </c>
      <c r="E8" s="39" t="inlineStr">
        <is>
          <t>Buildings insurance (monthly)</t>
        </is>
      </c>
      <c r="F8" s="25" t="n">
        <v>45</v>
      </c>
    </row>
    <row r="9" ht="22" customHeight="1">
      <c r="B9" s="36" t="n">
        <v>45752</v>
      </c>
      <c r="C9" s="18" t="inlineStr">
        <is>
          <t>Flat 1</t>
        </is>
      </c>
      <c r="D9" s="19" t="inlineStr">
        <is>
          <t>Repairs</t>
        </is>
      </c>
      <c r="E9" s="37" t="inlineStr">
        <is>
          <t>Plumber - leak repair</t>
        </is>
      </c>
      <c r="F9" s="21" t="n">
        <v>185</v>
      </c>
    </row>
    <row r="10" ht="22" customHeight="1">
      <c r="B10" s="38" t="n">
        <v>45757</v>
      </c>
      <c r="C10" s="22" t="inlineStr">
        <is>
          <t>Flat 2</t>
        </is>
      </c>
      <c r="D10" s="23" t="inlineStr">
        <is>
          <t>Council Tax</t>
        </is>
      </c>
      <c r="E10" s="39" t="inlineStr">
        <is>
          <t>Council tax</t>
        </is>
      </c>
      <c r="F10" s="25" t="n">
        <v>145</v>
      </c>
    </row>
    <row r="11" ht="22" customHeight="1">
      <c r="B11" s="36" t="n">
        <v>45759</v>
      </c>
      <c r="C11" s="18" t="inlineStr">
        <is>
          <t>Flat 2</t>
        </is>
      </c>
      <c r="D11" s="19" t="inlineStr">
        <is>
          <t>Safety Certs</t>
        </is>
      </c>
      <c r="E11" s="37" t="inlineStr">
        <is>
          <t>Gas safety certificate</t>
        </is>
      </c>
      <c r="F11" s="21" t="n">
        <v>65</v>
      </c>
    </row>
    <row r="12" ht="22" customHeight="1">
      <c r="B12" s="38" t="n">
        <v>45762</v>
      </c>
      <c r="C12" s="22" t="inlineStr">
        <is>
          <t>Flat 1</t>
        </is>
      </c>
      <c r="D12" s="23" t="inlineStr">
        <is>
          <t>Mortgage Interest</t>
        </is>
      </c>
      <c r="E12" s="39" t="inlineStr">
        <is>
          <t>Mortgage interest payment</t>
        </is>
      </c>
      <c r="F12" s="25" t="n">
        <v>420</v>
      </c>
    </row>
    <row r="13" ht="22" customHeight="1">
      <c r="B13" s="36" t="n">
        <v>45762</v>
      </c>
      <c r="C13" s="18" t="inlineStr">
        <is>
          <t>Flat 2</t>
        </is>
      </c>
      <c r="D13" s="19" t="inlineStr">
        <is>
          <t>Mortgage Interest</t>
        </is>
      </c>
      <c r="E13" s="37" t="inlineStr">
        <is>
          <t>Mortgage interest payment</t>
        </is>
      </c>
      <c r="F13" s="21" t="n">
        <v>260</v>
      </c>
    </row>
    <row r="14" ht="22" customHeight="1">
      <c r="B14" s="38" t="n">
        <v>45778</v>
      </c>
      <c r="C14" s="22" t="inlineStr">
        <is>
          <t>Flat 1</t>
        </is>
      </c>
      <c r="D14" s="23" t="inlineStr">
        <is>
          <t>Agent Fees</t>
        </is>
      </c>
      <c r="E14" s="39" t="inlineStr">
        <is>
          <t>Letting agent commission (10%)</t>
        </is>
      </c>
      <c r="F14" s="25" t="n">
        <v>120</v>
      </c>
    </row>
    <row r="15" ht="22" customHeight="1">
      <c r="B15" s="36" t="n">
        <v>45780</v>
      </c>
      <c r="C15" s="18" t="inlineStr">
        <is>
          <t>Flat 1</t>
        </is>
      </c>
      <c r="D15" s="19" t="inlineStr">
        <is>
          <t>Insurance</t>
        </is>
      </c>
      <c r="E15" s="37" t="inlineStr">
        <is>
          <t>Buildings insurance (monthly)</t>
        </is>
      </c>
      <c r="F15" s="21" t="n">
        <v>45</v>
      </c>
    </row>
    <row r="16" ht="22" customHeight="1">
      <c r="B16" s="38" t="n">
        <v>45787</v>
      </c>
      <c r="C16" s="22" t="inlineStr">
        <is>
          <t>Flat 2</t>
        </is>
      </c>
      <c r="D16" s="23" t="inlineStr">
        <is>
          <t>Council Tax</t>
        </is>
      </c>
      <c r="E16" s="39" t="inlineStr">
        <is>
          <t>Council tax</t>
        </is>
      </c>
      <c r="F16" s="25" t="n">
        <v>145</v>
      </c>
    </row>
    <row r="17" ht="22" customHeight="1">
      <c r="B17" s="40" t="n"/>
      <c r="C17" s="40" t="n"/>
      <c r="D17" s="40" t="n"/>
      <c r="E17" s="40" t="n"/>
      <c r="F17" s="40" t="n"/>
    </row>
    <row r="18" ht="22" customHeight="1">
      <c r="B18" s="41" t="n"/>
      <c r="C18" s="41" t="n"/>
      <c r="D18" s="41" t="n"/>
      <c r="E18" s="41" t="n"/>
      <c r="F18" s="41" t="n"/>
    </row>
    <row r="19" ht="22" customHeight="1">
      <c r="B19" s="40" t="n"/>
      <c r="C19" s="40" t="n"/>
      <c r="D19" s="40" t="n"/>
      <c r="E19" s="40" t="n"/>
      <c r="F19" s="40" t="n"/>
    </row>
    <row r="20" ht="22" customHeight="1">
      <c r="B20" s="41" t="n"/>
      <c r="C20" s="41" t="n"/>
      <c r="D20" s="41" t="n"/>
      <c r="E20" s="41" t="n"/>
      <c r="F20" s="41" t="n"/>
    </row>
    <row r="21" ht="22" customHeight="1">
      <c r="B21" s="40" t="n"/>
      <c r="C21" s="40" t="n"/>
      <c r="D21" s="40" t="n"/>
      <c r="E21" s="40" t="n"/>
      <c r="F21" s="40" t="n"/>
    </row>
    <row r="22" ht="22" customHeight="1">
      <c r="B22" s="41" t="n"/>
      <c r="C22" s="41" t="n"/>
      <c r="D22" s="41" t="n"/>
      <c r="E22" s="41" t="n"/>
      <c r="F22" s="41" t="n"/>
    </row>
    <row r="23" ht="22" customHeight="1">
      <c r="B23" s="40" t="n"/>
      <c r="C23" s="40" t="n"/>
      <c r="D23" s="40" t="n"/>
      <c r="E23" s="40" t="n"/>
      <c r="F23" s="40" t="n"/>
    </row>
    <row r="24" ht="22" customHeight="1">
      <c r="B24" s="41" t="n"/>
      <c r="C24" s="41" t="n"/>
      <c r="D24" s="41" t="n"/>
      <c r="E24" s="41" t="n"/>
      <c r="F24" s="41" t="n"/>
    </row>
    <row r="25" ht="22" customHeight="1">
      <c r="B25" s="40" t="n"/>
      <c r="C25" s="40" t="n"/>
      <c r="D25" s="40" t="n"/>
      <c r="E25" s="40" t="n"/>
      <c r="F25" s="40" t="n"/>
    </row>
    <row r="26" ht="22" customHeight="1">
      <c r="B26" s="41" t="n"/>
      <c r="C26" s="41" t="n"/>
      <c r="D26" s="41" t="n"/>
      <c r="E26" s="41" t="n"/>
      <c r="F26" s="41" t="n"/>
    </row>
    <row r="27" ht="22" customHeight="1">
      <c r="B27" s="40" t="n"/>
      <c r="C27" s="40" t="n"/>
      <c r="D27" s="40" t="n"/>
      <c r="E27" s="40" t="n"/>
      <c r="F27" s="40" t="n"/>
    </row>
    <row r="28" ht="22" customHeight="1">
      <c r="B28" s="41" t="n"/>
      <c r="C28" s="41" t="n"/>
      <c r="D28" s="41" t="n"/>
      <c r="E28" s="41" t="n"/>
      <c r="F28" s="41" t="n"/>
    </row>
    <row r="29" ht="22" customHeight="1">
      <c r="B29" s="40" t="n"/>
      <c r="C29" s="40" t="n"/>
      <c r="D29" s="40" t="n"/>
      <c r="E29" s="40" t="n"/>
      <c r="F29" s="40" t="n"/>
    </row>
    <row r="30" ht="22" customHeight="1">
      <c r="B30" s="41" t="n"/>
      <c r="C30" s="41" t="n"/>
      <c r="D30" s="41" t="n"/>
      <c r="E30" s="41" t="n"/>
      <c r="F30" s="41" t="n"/>
    </row>
    <row r="31" ht="22" customHeight="1">
      <c r="B31" s="40" t="n"/>
      <c r="C31" s="40" t="n"/>
      <c r="D31" s="40" t="n"/>
      <c r="E31" s="40" t="n"/>
      <c r="F31" s="40" t="n"/>
    </row>
    <row r="32" ht="22" customHeight="1">
      <c r="B32" s="41" t="n"/>
      <c r="C32" s="41" t="n"/>
      <c r="D32" s="41" t="n"/>
      <c r="E32" s="41" t="n"/>
      <c r="F32" s="41" t="n"/>
    </row>
    <row r="33" ht="22" customHeight="1">
      <c r="B33" s="40" t="n"/>
      <c r="C33" s="40" t="n"/>
      <c r="D33" s="40" t="n"/>
      <c r="E33" s="40" t="n"/>
      <c r="F33" s="40" t="n"/>
    </row>
    <row r="34" ht="22" customHeight="1">
      <c r="B34" s="41" t="n"/>
      <c r="C34" s="41" t="n"/>
      <c r="D34" s="41" t="n"/>
      <c r="E34" s="41" t="n"/>
      <c r="F34" s="41" t="n"/>
    </row>
    <row r="35" ht="22" customHeight="1">
      <c r="B35" s="40" t="n"/>
      <c r="C35" s="40" t="n"/>
      <c r="D35" s="40" t="n"/>
      <c r="E35" s="40" t="n"/>
      <c r="F35" s="40" t="n"/>
    </row>
    <row r="36" ht="22" customHeight="1">
      <c r="B36" s="41" t="n"/>
      <c r="C36" s="41" t="n"/>
      <c r="D36" s="41" t="n"/>
      <c r="E36" s="41" t="n"/>
      <c r="F36" s="41" t="n"/>
    </row>
    <row r="37" ht="22" customHeight="1">
      <c r="B37" s="40" t="n"/>
      <c r="C37" s="40" t="n"/>
      <c r="D37" s="40" t="n"/>
      <c r="E37" s="40" t="n"/>
      <c r="F37" s="40" t="n"/>
    </row>
    <row r="38" ht="22" customHeight="1">
      <c r="B38" s="41" t="n"/>
      <c r="C38" s="41" t="n"/>
      <c r="D38" s="41" t="n"/>
      <c r="E38" s="41" t="n"/>
      <c r="F38" s="41" t="n"/>
    </row>
    <row r="39" ht="22" customHeight="1">
      <c r="B39" s="40" t="n"/>
      <c r="C39" s="40" t="n"/>
      <c r="D39" s="40" t="n"/>
      <c r="E39" s="40" t="n"/>
      <c r="F39" s="40" t="n"/>
    </row>
    <row r="40" ht="22" customHeight="1">
      <c r="B40" s="41" t="n"/>
      <c r="C40" s="41" t="n"/>
      <c r="D40" s="41" t="n"/>
      <c r="E40" s="41" t="n"/>
      <c r="F40" s="41" t="n"/>
    </row>
    <row r="41" ht="28" customHeight="1">
      <c r="B41" s="26" t="inlineStr">
        <is>
          <t>TOTAL EXPENSES</t>
        </is>
      </c>
      <c r="C41" s="27" t="n"/>
      <c r="D41" s="27" t="n"/>
      <c r="E41" s="27" t="n"/>
      <c r="F41" s="28">
        <f>SUM(F7:F40)</f>
        <v/>
      </c>
    </row>
    <row r="43" ht="25" customHeight="1">
      <c r="B43" s="4" t="inlineStr">
        <is>
          <t>EXPENSE BREAKDOWN BY CATEGORY</t>
        </is>
      </c>
    </row>
    <row r="44" ht="22" customHeight="1">
      <c r="B44" s="12" t="inlineStr">
        <is>
          <t>Category</t>
        </is>
      </c>
      <c r="C44" s="42" t="inlineStr">
        <is>
          <t>Description</t>
        </is>
      </c>
      <c r="F44" s="43" t="inlineStr">
        <is>
          <t>Total</t>
        </is>
      </c>
    </row>
    <row r="45" ht="22" customHeight="1">
      <c r="B45" s="5" t="inlineStr">
        <is>
          <t>Agent Fees</t>
        </is>
      </c>
      <c r="C45" s="44" t="inlineStr">
        <is>
          <t>Letting agent commission and management fees</t>
        </is>
      </c>
      <c r="D45" s="7" t="n"/>
      <c r="E45" s="7" t="n"/>
      <c r="F45" s="32">
        <f>SUMIF($D$7:$D$40,B45,$F$7:$F$40)</f>
        <v/>
      </c>
    </row>
    <row r="46" ht="22" customHeight="1">
      <c r="B46" s="8" t="inlineStr">
        <is>
          <t>Insurance</t>
        </is>
      </c>
      <c r="C46" s="14" t="inlineStr">
        <is>
          <t>Buildings, contents and landlord insurance</t>
        </is>
      </c>
      <c r="F46" s="34">
        <f>SUMIF($D$7:$D$40,B46,$F$7:$F$40)</f>
        <v/>
      </c>
    </row>
    <row r="47" ht="22" customHeight="1">
      <c r="B47" s="5" t="inlineStr">
        <is>
          <t>Repairs</t>
        </is>
      </c>
      <c r="C47" s="44" t="inlineStr">
        <is>
          <t>Repairs, maintenance and decoration</t>
        </is>
      </c>
      <c r="D47" s="7" t="n"/>
      <c r="E47" s="7" t="n"/>
      <c r="F47" s="32">
        <f>SUMIF($D$7:$D$40,B47,$F$7:$F$40)</f>
        <v/>
      </c>
    </row>
    <row r="48" ht="22" customHeight="1">
      <c r="B48" s="8" t="inlineStr">
        <is>
          <t>Council Tax</t>
        </is>
      </c>
      <c r="C48" s="14" t="inlineStr">
        <is>
          <t>Council tax on rental properties</t>
        </is>
      </c>
      <c r="F48" s="34">
        <f>SUMIF($D$7:$D$40,B48,$F$7:$F$40)</f>
        <v/>
      </c>
    </row>
    <row r="49" ht="22" customHeight="1">
      <c r="B49" s="5" t="inlineStr">
        <is>
          <t>Utilities</t>
        </is>
      </c>
      <c r="C49" s="44" t="inlineStr">
        <is>
          <t>Gas, electricity, water and sewerage</t>
        </is>
      </c>
      <c r="D49" s="7" t="n"/>
      <c r="E49" s="7" t="n"/>
      <c r="F49" s="32">
        <f>SUMIF($D$7:$D$40,B49,$F$7:$F$40)</f>
        <v/>
      </c>
    </row>
    <row r="50" ht="22" customHeight="1">
      <c r="B50" s="8" t="inlineStr">
        <is>
          <t>Safety Certs</t>
        </is>
      </c>
      <c r="C50" s="14" t="inlineStr">
        <is>
          <t>Gas safety, EPC, electrical checks</t>
        </is>
      </c>
      <c r="F50" s="34">
        <f>SUMIF($D$7:$D$40,B50,$F$7:$F$40)</f>
        <v/>
      </c>
    </row>
    <row r="51" ht="22" customHeight="1">
      <c r="B51" s="5" t="inlineStr">
        <is>
          <t>Cleaning</t>
        </is>
      </c>
      <c r="C51" s="44" t="inlineStr">
        <is>
          <t>Cleaning and gardening services</t>
        </is>
      </c>
      <c r="D51" s="7" t="n"/>
      <c r="E51" s="7" t="n"/>
      <c r="F51" s="32">
        <f>SUMIF($D$7:$D$40,B51,$F$7:$F$40)</f>
        <v/>
      </c>
    </row>
    <row r="52" ht="22" customHeight="1">
      <c r="B52" s="8" t="inlineStr">
        <is>
          <t>Legal</t>
        </is>
      </c>
      <c r="C52" s="14" t="inlineStr">
        <is>
          <t>Legal fees and accountancy</t>
        </is>
      </c>
      <c r="F52" s="34">
        <f>SUMIF($D$7:$D$40,B52,$F$7:$F$40)</f>
        <v/>
      </c>
    </row>
    <row r="53" ht="22" customHeight="1">
      <c r="B53" s="5" t="inlineStr">
        <is>
          <t>Advertising</t>
        </is>
      </c>
      <c r="C53" s="44" t="inlineStr">
        <is>
          <t>Advertising for tenants</t>
        </is>
      </c>
      <c r="D53" s="7" t="n"/>
      <c r="E53" s="7" t="n"/>
      <c r="F53" s="32">
        <f>SUMIF($D$7:$D$40,B53,$F$7:$F$40)</f>
        <v/>
      </c>
    </row>
    <row r="54" ht="22" customHeight="1">
      <c r="B54" s="8" t="inlineStr">
        <is>
          <t>Mortgage Interest</t>
        </is>
      </c>
      <c r="C54" s="14" t="inlineStr">
        <is>
          <t>Interest only (not capital repayments)</t>
        </is>
      </c>
      <c r="F54" s="34">
        <f>SUMIF($D$7:$D$40,B54,$F$7:$F$40)</f>
        <v/>
      </c>
    </row>
    <row r="55" ht="22" customHeight="1">
      <c r="B55" s="5" t="inlineStr">
        <is>
          <t>Other</t>
        </is>
      </c>
      <c r="C55" s="44" t="inlineStr">
        <is>
          <t>Any other property-related expenses</t>
        </is>
      </c>
      <c r="D55" s="7" t="n"/>
      <c r="E55" s="7" t="n"/>
      <c r="F55" s="32">
        <f>SUMIF($D$7:$D$40,B55,$F$7:$F$40)</f>
        <v/>
      </c>
    </row>
  </sheetData>
  <mergeCells count="16">
    <mergeCell ref="C54:E54"/>
    <mergeCell ref="B41:E41"/>
    <mergeCell ref="C50:E50"/>
    <mergeCell ref="C44:E44"/>
    <mergeCell ref="B2:F2"/>
    <mergeCell ref="B43:E43"/>
    <mergeCell ref="C52:E52"/>
    <mergeCell ref="C45:E45"/>
    <mergeCell ref="C53:E53"/>
    <mergeCell ref="C55:E55"/>
    <mergeCell ref="B3:F3"/>
    <mergeCell ref="C49:E49"/>
    <mergeCell ref="C48:E48"/>
    <mergeCell ref="C51:E51"/>
    <mergeCell ref="C46:E46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2" ht="35" customHeight="1">
      <c r="B2" s="15" t="inlineStr">
        <is>
          <t>ANNUAL SUMMARY</t>
        </is>
      </c>
    </row>
    <row r="3" ht="22" customHeight="1">
      <c r="B3" s="2" t="inlineStr">
        <is>
          <t>Profit and loss per property — auto-calculated</t>
        </is>
      </c>
    </row>
    <row r="4" ht="5" customHeight="1">
      <c r="B4" s="3" t="n"/>
      <c r="C4" s="3" t="n"/>
      <c r="D4" s="3" t="n"/>
      <c r="E4" s="3" t="n"/>
      <c r="F4" s="3" t="n"/>
      <c r="G4" s="3" t="n"/>
    </row>
    <row r="6" ht="28" customHeight="1">
      <c r="B6" s="17" t="inlineStr">
        <is>
          <t>Category</t>
        </is>
      </c>
      <c r="C6" s="29">
        <f>Properties!B7</f>
        <v/>
      </c>
      <c r="D6" s="29">
        <f>Properties!B8</f>
        <v/>
      </c>
      <c r="E6" s="29">
        <f>Properties!B9</f>
        <v/>
      </c>
      <c r="F6" s="29">
        <f>Properties!B10</f>
        <v/>
      </c>
      <c r="G6" s="16" t="inlineStr">
        <is>
          <t>TOTAL</t>
        </is>
      </c>
    </row>
    <row r="7" ht="24" customHeight="1">
      <c r="B7" s="45" t="inlineStr">
        <is>
          <t>INCOME</t>
        </is>
      </c>
    </row>
    <row r="8" ht="22" customHeight="1">
      <c r="B8" s="9" t="inlineStr">
        <is>
          <t>Rental Income</t>
        </is>
      </c>
      <c r="C8" s="46">
        <f>Income!C18</f>
        <v/>
      </c>
      <c r="D8" s="46">
        <f>Income!D18</f>
        <v/>
      </c>
      <c r="E8" s="46">
        <f>Income!E18</f>
        <v/>
      </c>
      <c r="F8" s="46">
        <f>Income!F18</f>
        <v/>
      </c>
      <c r="G8" s="34">
        <f>SUM(C8:F8)</f>
        <v/>
      </c>
    </row>
    <row r="10" ht="24" customHeight="1">
      <c r="B10" s="47" t="inlineStr">
        <is>
          <t>EXPENSES</t>
        </is>
      </c>
    </row>
    <row r="11" ht="22" customHeight="1">
      <c r="B11" s="11" t="inlineStr">
        <is>
          <t>Agent Fees</t>
        </is>
      </c>
      <c r="C11" s="32">
        <f>SUMIFS(Expenses!$F$7:$F$40,Expenses!$C$7:$C$40,Properties!B7,Expenses!$D$7:$D$40,$B11)</f>
        <v/>
      </c>
      <c r="D11" s="32">
        <f>SUMIFS(Expenses!$F$7:$F$40,Expenses!$C$7:$C$40,Properties!B8,Expenses!$D$7:$D$40,$B11)</f>
        <v/>
      </c>
      <c r="E11" s="32">
        <f>SUMIFS(Expenses!$F$7:$F$40,Expenses!$C$7:$C$40,Properties!B9,Expenses!$D$7:$D$40,$B11)</f>
        <v/>
      </c>
      <c r="F11" s="32">
        <f>SUMIFS(Expenses!$F$7:$F$40,Expenses!$C$7:$C$40,Properties!B10,Expenses!$D$7:$D$40,$B11)</f>
        <v/>
      </c>
      <c r="G11" s="32">
        <f>SUM(C11:F11)</f>
        <v/>
      </c>
    </row>
    <row r="12" ht="22" customHeight="1">
      <c r="B12" s="9" t="inlineStr">
        <is>
          <t>Insurance</t>
        </is>
      </c>
      <c r="C12" s="34">
        <f>SUMIFS(Expenses!$F$7:$F$40,Expenses!$C$7:$C$40,Properties!B7,Expenses!$D$7:$D$40,$B12)</f>
        <v/>
      </c>
      <c r="D12" s="34">
        <f>SUMIFS(Expenses!$F$7:$F$40,Expenses!$C$7:$C$40,Properties!B8,Expenses!$D$7:$D$40,$B12)</f>
        <v/>
      </c>
      <c r="E12" s="34">
        <f>SUMIFS(Expenses!$F$7:$F$40,Expenses!$C$7:$C$40,Properties!B9,Expenses!$D$7:$D$40,$B12)</f>
        <v/>
      </c>
      <c r="F12" s="34">
        <f>SUMIFS(Expenses!$F$7:$F$40,Expenses!$C$7:$C$40,Properties!B10,Expenses!$D$7:$D$40,$B12)</f>
        <v/>
      </c>
      <c r="G12" s="34">
        <f>SUM(C12:F12)</f>
        <v/>
      </c>
    </row>
    <row r="13" ht="22" customHeight="1">
      <c r="B13" s="11" t="inlineStr">
        <is>
          <t>Repairs</t>
        </is>
      </c>
      <c r="C13" s="32">
        <f>SUMIFS(Expenses!$F$7:$F$40,Expenses!$C$7:$C$40,Properties!B7,Expenses!$D$7:$D$40,$B13)</f>
        <v/>
      </c>
      <c r="D13" s="32">
        <f>SUMIFS(Expenses!$F$7:$F$40,Expenses!$C$7:$C$40,Properties!B8,Expenses!$D$7:$D$40,$B13)</f>
        <v/>
      </c>
      <c r="E13" s="32">
        <f>SUMIFS(Expenses!$F$7:$F$40,Expenses!$C$7:$C$40,Properties!B9,Expenses!$D$7:$D$40,$B13)</f>
        <v/>
      </c>
      <c r="F13" s="32">
        <f>SUMIFS(Expenses!$F$7:$F$40,Expenses!$C$7:$C$40,Properties!B10,Expenses!$D$7:$D$40,$B13)</f>
        <v/>
      </c>
      <c r="G13" s="32">
        <f>SUM(C13:F13)</f>
        <v/>
      </c>
    </row>
    <row r="14" ht="22" customHeight="1">
      <c r="B14" s="9" t="inlineStr">
        <is>
          <t>Council Tax</t>
        </is>
      </c>
      <c r="C14" s="34">
        <f>SUMIFS(Expenses!$F$7:$F$40,Expenses!$C$7:$C$40,Properties!B7,Expenses!$D$7:$D$40,$B14)</f>
        <v/>
      </c>
      <c r="D14" s="34">
        <f>SUMIFS(Expenses!$F$7:$F$40,Expenses!$C$7:$C$40,Properties!B8,Expenses!$D$7:$D$40,$B14)</f>
        <v/>
      </c>
      <c r="E14" s="34">
        <f>SUMIFS(Expenses!$F$7:$F$40,Expenses!$C$7:$C$40,Properties!B9,Expenses!$D$7:$D$40,$B14)</f>
        <v/>
      </c>
      <c r="F14" s="34">
        <f>SUMIFS(Expenses!$F$7:$F$40,Expenses!$C$7:$C$40,Properties!B10,Expenses!$D$7:$D$40,$B14)</f>
        <v/>
      </c>
      <c r="G14" s="34">
        <f>SUM(C14:F14)</f>
        <v/>
      </c>
    </row>
    <row r="15" ht="22" customHeight="1">
      <c r="B15" s="11" t="inlineStr">
        <is>
          <t>Utilities</t>
        </is>
      </c>
      <c r="C15" s="32">
        <f>SUMIFS(Expenses!$F$7:$F$40,Expenses!$C$7:$C$40,Properties!B7,Expenses!$D$7:$D$40,$B15)</f>
        <v/>
      </c>
      <c r="D15" s="32">
        <f>SUMIFS(Expenses!$F$7:$F$40,Expenses!$C$7:$C$40,Properties!B8,Expenses!$D$7:$D$40,$B15)</f>
        <v/>
      </c>
      <c r="E15" s="32">
        <f>SUMIFS(Expenses!$F$7:$F$40,Expenses!$C$7:$C$40,Properties!B9,Expenses!$D$7:$D$40,$B15)</f>
        <v/>
      </c>
      <c r="F15" s="32">
        <f>SUMIFS(Expenses!$F$7:$F$40,Expenses!$C$7:$C$40,Properties!B10,Expenses!$D$7:$D$40,$B15)</f>
        <v/>
      </c>
      <c r="G15" s="32">
        <f>SUM(C15:F15)</f>
        <v/>
      </c>
    </row>
    <row r="16" ht="22" customHeight="1">
      <c r="B16" s="9" t="inlineStr">
        <is>
          <t>Safety Certs</t>
        </is>
      </c>
      <c r="C16" s="34">
        <f>SUMIFS(Expenses!$F$7:$F$40,Expenses!$C$7:$C$40,Properties!B7,Expenses!$D$7:$D$40,$B16)</f>
        <v/>
      </c>
      <c r="D16" s="34">
        <f>SUMIFS(Expenses!$F$7:$F$40,Expenses!$C$7:$C$40,Properties!B8,Expenses!$D$7:$D$40,$B16)</f>
        <v/>
      </c>
      <c r="E16" s="34">
        <f>SUMIFS(Expenses!$F$7:$F$40,Expenses!$C$7:$C$40,Properties!B9,Expenses!$D$7:$D$40,$B16)</f>
        <v/>
      </c>
      <c r="F16" s="34">
        <f>SUMIFS(Expenses!$F$7:$F$40,Expenses!$C$7:$C$40,Properties!B10,Expenses!$D$7:$D$40,$B16)</f>
        <v/>
      </c>
      <c r="G16" s="34">
        <f>SUM(C16:F16)</f>
        <v/>
      </c>
    </row>
    <row r="17" ht="22" customHeight="1">
      <c r="B17" s="11" t="inlineStr">
        <is>
          <t>Cleaning</t>
        </is>
      </c>
      <c r="C17" s="32">
        <f>SUMIFS(Expenses!$F$7:$F$40,Expenses!$C$7:$C$40,Properties!B7,Expenses!$D$7:$D$40,$B17)</f>
        <v/>
      </c>
      <c r="D17" s="32">
        <f>SUMIFS(Expenses!$F$7:$F$40,Expenses!$C$7:$C$40,Properties!B8,Expenses!$D$7:$D$40,$B17)</f>
        <v/>
      </c>
      <c r="E17" s="32">
        <f>SUMIFS(Expenses!$F$7:$F$40,Expenses!$C$7:$C$40,Properties!B9,Expenses!$D$7:$D$40,$B17)</f>
        <v/>
      </c>
      <c r="F17" s="32">
        <f>SUMIFS(Expenses!$F$7:$F$40,Expenses!$C$7:$C$40,Properties!B10,Expenses!$D$7:$D$40,$B17)</f>
        <v/>
      </c>
      <c r="G17" s="32">
        <f>SUM(C17:F17)</f>
        <v/>
      </c>
    </row>
    <row r="18" ht="22" customHeight="1">
      <c r="B18" s="9" t="inlineStr">
        <is>
          <t>Legal</t>
        </is>
      </c>
      <c r="C18" s="34">
        <f>SUMIFS(Expenses!$F$7:$F$40,Expenses!$C$7:$C$40,Properties!B7,Expenses!$D$7:$D$40,$B18)</f>
        <v/>
      </c>
      <c r="D18" s="34">
        <f>SUMIFS(Expenses!$F$7:$F$40,Expenses!$C$7:$C$40,Properties!B8,Expenses!$D$7:$D$40,$B18)</f>
        <v/>
      </c>
      <c r="E18" s="34">
        <f>SUMIFS(Expenses!$F$7:$F$40,Expenses!$C$7:$C$40,Properties!B9,Expenses!$D$7:$D$40,$B18)</f>
        <v/>
      </c>
      <c r="F18" s="34">
        <f>SUMIFS(Expenses!$F$7:$F$40,Expenses!$C$7:$C$40,Properties!B10,Expenses!$D$7:$D$40,$B18)</f>
        <v/>
      </c>
      <c r="G18" s="34">
        <f>SUM(C18:F18)</f>
        <v/>
      </c>
    </row>
    <row r="19" ht="22" customHeight="1">
      <c r="B19" s="11" t="inlineStr">
        <is>
          <t>Advertising</t>
        </is>
      </c>
      <c r="C19" s="32">
        <f>SUMIFS(Expenses!$F$7:$F$40,Expenses!$C$7:$C$40,Properties!B7,Expenses!$D$7:$D$40,$B19)</f>
        <v/>
      </c>
      <c r="D19" s="32">
        <f>SUMIFS(Expenses!$F$7:$F$40,Expenses!$C$7:$C$40,Properties!B8,Expenses!$D$7:$D$40,$B19)</f>
        <v/>
      </c>
      <c r="E19" s="32">
        <f>SUMIFS(Expenses!$F$7:$F$40,Expenses!$C$7:$C$40,Properties!B9,Expenses!$D$7:$D$40,$B19)</f>
        <v/>
      </c>
      <c r="F19" s="32">
        <f>SUMIFS(Expenses!$F$7:$F$40,Expenses!$C$7:$C$40,Properties!B10,Expenses!$D$7:$D$40,$B19)</f>
        <v/>
      </c>
      <c r="G19" s="32">
        <f>SUM(C19:F19)</f>
        <v/>
      </c>
    </row>
    <row r="20" ht="22" customHeight="1">
      <c r="B20" s="9" t="inlineStr">
        <is>
          <t>Mortgage Interest</t>
        </is>
      </c>
      <c r="C20" s="34">
        <f>SUMIFS(Expenses!$F$7:$F$40,Expenses!$C$7:$C$40,Properties!B7,Expenses!$D$7:$D$40,$B20)</f>
        <v/>
      </c>
      <c r="D20" s="34">
        <f>SUMIFS(Expenses!$F$7:$F$40,Expenses!$C$7:$C$40,Properties!B8,Expenses!$D$7:$D$40,$B20)</f>
        <v/>
      </c>
      <c r="E20" s="34">
        <f>SUMIFS(Expenses!$F$7:$F$40,Expenses!$C$7:$C$40,Properties!B9,Expenses!$D$7:$D$40,$B20)</f>
        <v/>
      </c>
      <c r="F20" s="34">
        <f>SUMIFS(Expenses!$F$7:$F$40,Expenses!$C$7:$C$40,Properties!B10,Expenses!$D$7:$D$40,$B20)</f>
        <v/>
      </c>
      <c r="G20" s="34">
        <f>SUM(C20:F20)</f>
        <v/>
      </c>
    </row>
    <row r="21" ht="22" customHeight="1">
      <c r="B21" s="11" t="inlineStr">
        <is>
          <t>Other</t>
        </is>
      </c>
      <c r="C21" s="32">
        <f>SUMIFS(Expenses!$F$7:$F$40,Expenses!$C$7:$C$40,Properties!B7,Expenses!$D$7:$D$40,$B21)</f>
        <v/>
      </c>
      <c r="D21" s="32">
        <f>SUMIFS(Expenses!$F$7:$F$40,Expenses!$C$7:$C$40,Properties!B8,Expenses!$D$7:$D$40,$B21)</f>
        <v/>
      </c>
      <c r="E21" s="32">
        <f>SUMIFS(Expenses!$F$7:$F$40,Expenses!$C$7:$C$40,Properties!B9,Expenses!$D$7:$D$40,$B21)</f>
        <v/>
      </c>
      <c r="F21" s="32">
        <f>SUMIFS(Expenses!$F$7:$F$40,Expenses!$C$7:$C$40,Properties!B10,Expenses!$D$7:$D$40,$B21)</f>
        <v/>
      </c>
      <c r="G21" s="32">
        <f>SUM(C21:F21)</f>
        <v/>
      </c>
    </row>
    <row r="22" ht="28" customHeight="1">
      <c r="B22" s="48" t="inlineStr">
        <is>
          <t>TOTAL EXPENSES</t>
        </is>
      </c>
      <c r="C22" s="49">
        <f>SUM(C11:C21)</f>
        <v/>
      </c>
      <c r="D22" s="49">
        <f>SUM(D11:D21)</f>
        <v/>
      </c>
      <c r="E22" s="49">
        <f>SUM(E11:E21)</f>
        <v/>
      </c>
      <c r="F22" s="49">
        <f>SUM(F11:F21)</f>
        <v/>
      </c>
      <c r="G22" s="49">
        <f>SUM(G11:G21)</f>
        <v/>
      </c>
    </row>
    <row r="24" ht="32" customHeight="1">
      <c r="B24" s="50" t="inlineStr">
        <is>
          <t>NET PROFIT / (LOSS)</t>
        </is>
      </c>
      <c r="C24" s="51">
        <f>C8-C22</f>
        <v/>
      </c>
      <c r="D24" s="51">
        <f>D8-D22</f>
        <v/>
      </c>
      <c r="E24" s="51">
        <f>E8-E22</f>
        <v/>
      </c>
      <c r="F24" s="51">
        <f>F8-F22</f>
        <v/>
      </c>
      <c r="G24" s="51">
        <f>G8-G22</f>
        <v/>
      </c>
    </row>
    <row r="25" ht="18" customHeight="1">
      <c r="C25" s="52">
        <f>IF(G24&gt;=0,"Portfolio is profitable","Portfolio is making a loss — review expenses")</f>
        <v/>
      </c>
    </row>
  </sheetData>
  <mergeCells count="3">
    <mergeCell ref="B3:G3"/>
    <mergeCell ref="B2:G2"/>
    <mergeCell ref="C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2" ht="35" customHeight="1">
      <c r="B2" s="15" t="inlineStr">
        <is>
          <t>TAX WORKINGS</t>
        </is>
      </c>
    </row>
    <row r="3" ht="22" customHeight="1">
      <c r="B3" s="2" t="inlineStr">
        <is>
          <t>Mortgage interest relief, taxable profit and tax estimate</t>
        </is>
      </c>
    </row>
    <row r="4" ht="5" customHeight="1">
      <c r="B4" s="3" t="n"/>
      <c r="C4" s="3" t="n"/>
      <c r="D4" s="3" t="n"/>
      <c r="E4" s="3" t="n"/>
      <c r="F4" s="3" t="n"/>
    </row>
    <row r="6" ht="28" customHeight="1">
      <c r="B6" s="53" t="inlineStr"/>
      <c r="C6" s="29">
        <f>Properties!B7</f>
        <v/>
      </c>
      <c r="D6" s="29">
        <f>Properties!B8</f>
        <v/>
      </c>
      <c r="E6" s="29">
        <f>Properties!B9</f>
        <v/>
      </c>
      <c r="F6" s="29">
        <f>Properties!B10</f>
        <v/>
      </c>
    </row>
    <row r="7" ht="24" customHeight="1">
      <c r="B7" s="54" t="inlineStr">
        <is>
          <t>PROFIT CALCULATION</t>
        </is>
      </c>
      <c r="C7" s="55" t="n"/>
      <c r="D7" s="55" t="n"/>
      <c r="E7" s="55" t="n"/>
      <c r="F7" s="55" t="n"/>
    </row>
    <row r="8" ht="22" customHeight="1">
      <c r="B8" s="9" t="inlineStr">
        <is>
          <t>Rental Income</t>
        </is>
      </c>
      <c r="C8" s="46">
        <f>'Annual Summary'!C8</f>
        <v/>
      </c>
      <c r="D8" s="46">
        <f>'Annual Summary'!D8</f>
        <v/>
      </c>
      <c r="E8" s="46">
        <f>'Annual Summary'!E8</f>
        <v/>
      </c>
      <c r="F8" s="46">
        <f>'Annual Summary'!F8</f>
        <v/>
      </c>
    </row>
    <row r="9" ht="22" customHeight="1">
      <c r="B9" s="9" t="inlineStr">
        <is>
          <t>Less: Allowable Expenses (excl. mortgage interest)</t>
        </is>
      </c>
      <c r="C9" s="34">
        <f>'Annual Summary'!C22-'Annual Summary'!C20</f>
        <v/>
      </c>
      <c r="D9" s="34">
        <f>'Annual Summary'!D22-'Annual Summary'!D20</f>
        <v/>
      </c>
      <c r="E9" s="34">
        <f>'Annual Summary'!E22-'Annual Summary'!E20</f>
        <v/>
      </c>
      <c r="F9" s="34">
        <f>'Annual Summary'!F22-'Annual Summary'!F20</f>
        <v/>
      </c>
    </row>
    <row r="10" ht="22" customHeight="1">
      <c r="B10" s="9" t="inlineStr">
        <is>
          <t>Less: Mortgage Interest</t>
        </is>
      </c>
      <c r="C10" s="46">
        <f>'Annual Summary'!C20</f>
        <v/>
      </c>
      <c r="D10" s="46">
        <f>'Annual Summary'!D20</f>
        <v/>
      </c>
      <c r="E10" s="46">
        <f>'Annual Summary'!E20</f>
        <v/>
      </c>
      <c r="F10" s="46">
        <f>'Annual Summary'!F20</f>
        <v/>
      </c>
    </row>
    <row r="11" ht="30" customHeight="1">
      <c r="B11" s="8" t="inlineStr">
        <is>
          <t>TAXABLE PROFIT / (LOSS)</t>
        </is>
      </c>
      <c r="C11" s="56">
        <f>C8-C9-C10</f>
        <v/>
      </c>
      <c r="D11" s="56">
        <f>D8-D9-D10</f>
        <v/>
      </c>
      <c r="E11" s="56">
        <f>E8-E9-E10</f>
        <v/>
      </c>
      <c r="F11" s="56">
        <f>F8-F9-F10</f>
        <v/>
      </c>
    </row>
    <row r="13" ht="24" customHeight="1">
      <c r="B13" s="57" t="inlineStr">
        <is>
          <t>MORTGAGE INTEREST TAX RELIEF (Section 24)</t>
        </is>
      </c>
      <c r="C13" s="3" t="n"/>
      <c r="D13" s="3" t="n"/>
      <c r="E13" s="3" t="n"/>
      <c r="F13" s="3" t="n"/>
    </row>
    <row r="14" ht="22" customHeight="1">
      <c r="B14" s="9" t="inlineStr">
        <is>
          <t>Mortgage Interest Paid</t>
        </is>
      </c>
      <c r="D14" s="34">
        <f>SUM(C10:F10)</f>
        <v/>
      </c>
    </row>
    <row r="15" ht="22" customHeight="1">
      <c r="B15" s="9" t="inlineStr">
        <is>
          <t>Tax Credit at 20% (basic rate)</t>
        </is>
      </c>
      <c r="D15" s="34">
        <f>D14*0.2</f>
        <v/>
      </c>
    </row>
    <row r="17" ht="24" customHeight="1">
      <c r="B17" s="54" t="inlineStr">
        <is>
          <t>TAX CALCULATION</t>
        </is>
      </c>
      <c r="C17" s="55" t="n"/>
      <c r="D17" s="55" t="n"/>
      <c r="E17" s="55" t="n"/>
      <c r="F17" s="55" t="n"/>
    </row>
    <row r="18" ht="22" customHeight="1">
      <c r="B18" s="9" t="inlineStr">
        <is>
          <t>Total Taxable Profit</t>
        </is>
      </c>
      <c r="D18" s="32">
        <f>SUM(C11:F11)</f>
        <v/>
      </c>
    </row>
    <row r="19" ht="22" customHeight="1">
      <c r="B19" s="9" t="inlineStr">
        <is>
          <t>Personal Allowance (2025/26)</t>
        </is>
      </c>
      <c r="D19" s="34" t="n">
        <v>12570</v>
      </c>
    </row>
    <row r="20" ht="22" customHeight="1">
      <c r="B20" s="8" t="inlineStr">
        <is>
          <t>Taxable Amount (profit less allowance)</t>
        </is>
      </c>
      <c r="D20" s="34">
        <f>MAX(D18-D19,0)</f>
        <v/>
      </c>
    </row>
    <row r="21" ht="22" customHeight="1">
      <c r="B21" s="9" t="inlineStr">
        <is>
          <t>Tax at Basic Rate (20%)</t>
        </is>
      </c>
      <c r="D21" s="34">
        <f>D20*0.2</f>
        <v/>
      </c>
    </row>
    <row r="22" ht="22" customHeight="1">
      <c r="B22" s="9" t="inlineStr">
        <is>
          <t>Less: Mortgage Interest Tax Credit</t>
        </is>
      </c>
      <c r="D22" s="34">
        <f>D15</f>
        <v/>
      </c>
    </row>
    <row r="23" ht="32" customHeight="1">
      <c r="B23" s="58" t="inlineStr">
        <is>
          <t>ESTIMATED TAX PAYABLE</t>
        </is>
      </c>
      <c r="D23" s="59">
        <f>MAX(D21-D22,0)</f>
        <v/>
      </c>
    </row>
    <row r="24" ht="22" customHeight="1">
      <c r="B24" s="9" t="inlineStr">
        <is>
          <t>Effective Tax Rate on Profit</t>
        </is>
      </c>
      <c r="D24" s="60">
        <f>IF(D18&gt;0,D23/D18,0)</f>
        <v/>
      </c>
    </row>
    <row r="26" ht="25" customHeight="1">
      <c r="B26" s="4" t="inlineStr">
        <is>
          <t>IMPORTANT TAX NOTES</t>
        </is>
      </c>
    </row>
    <row r="27" ht="20" customHeight="1">
      <c r="B27" s="14" t="inlineStr">
        <is>
          <t>Section 24 (Finance Act 2015): Mortgage interest is NOT an allowable expense. You get a 20% tax credit instead.</t>
        </is>
      </c>
    </row>
    <row r="28" ht="20" customHeight="1">
      <c r="B28" s="14" t="inlineStr">
        <is>
          <t>Wear &amp; Tear Allowance was abolished in April 2016. Use Replacement Relief for replacing furnishings only.</t>
        </is>
      </c>
    </row>
    <row r="29" ht="20" customHeight="1">
      <c r="B29" s="14" t="inlineStr">
        <is>
          <t>These calculations assume all profit falls within the basic rate band. Higher rate taxpayers pay 40%.</t>
        </is>
      </c>
    </row>
    <row r="30" ht="20" customHeight="1">
      <c r="B30" s="14" t="inlineStr">
        <is>
          <t>You may also pay Class 2 NIC (£3.45/week) and Class 4 NIC (9% of profits between £12,570-£50,270).</t>
        </is>
      </c>
    </row>
    <row r="31" ht="20" customHeight="1">
      <c r="B31" s="14" t="inlineStr">
        <is>
          <t>Report this income on the UK Property pages of your Self Assessment (SA105 supplementary pages).</t>
        </is>
      </c>
    </row>
    <row r="32" ht="20" customHeight="1">
      <c r="B32" s="14" t="inlineStr">
        <is>
          <t>Submission deadline: 31 January 2027 (for the 2025/26 tax year).</t>
        </is>
      </c>
    </row>
  </sheetData>
  <mergeCells count="21">
    <mergeCell ref="B7:F7"/>
    <mergeCell ref="B3:F3"/>
    <mergeCell ref="B22:C22"/>
    <mergeCell ref="B31:F31"/>
    <mergeCell ref="B18:C18"/>
    <mergeCell ref="B27:F27"/>
    <mergeCell ref="B21:C21"/>
    <mergeCell ref="B2:F2"/>
    <mergeCell ref="B23:C23"/>
    <mergeCell ref="B14:C14"/>
    <mergeCell ref="B17:F17"/>
    <mergeCell ref="B13:F13"/>
    <mergeCell ref="B29:F29"/>
    <mergeCell ref="B19:C19"/>
    <mergeCell ref="B28:F28"/>
    <mergeCell ref="B30:F30"/>
    <mergeCell ref="B24:C24"/>
    <mergeCell ref="B15:C15"/>
    <mergeCell ref="B20:C20"/>
    <mergeCell ref="B32:F32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2026-06-11T20:05:44Z</dcterms:created>
  <dcterms:modified xmlns:dcterms="http://purl.org/dc/terms/" xmlns:xsi="http://www.w3.org/2001/XMLSchema-instance" xsi:type="dcterms:W3CDTF">2026-06-11T20:09:50Z</dcterms:modified>
</cp:coreProperties>
</file>