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E Calculato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top style="thin">
        <color rgb="00E5E7EB"/>
      </top>
    </border>
    <border>
      <top style="medium">
        <color rgb="001E40AF"/>
      </top>
    </border>
    <border>
      <top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applyAlignment="1" applyProtection="1" pivotButton="0" quotePrefix="0" xfId="0">
      <alignment horizontal="right" vertical="center"/>
      <protection locked="0" hidden="0"/>
    </xf>
    <xf numFmtId="164" fontId="0" fillId="3" borderId="2" applyProtection="1" pivotButton="0" quotePrefix="0" xfId="0">
      <protection locked="0" hidden="0"/>
    </xf>
    <xf numFmtId="0" fontId="5" fillId="3" borderId="2" applyAlignment="1" applyProtection="1" pivotButton="0" quotePrefix="0" xfId="0">
      <alignment horizontal="right" vertical="center"/>
      <protection locked="0" hidden="0"/>
    </xf>
    <xf numFmtId="0" fontId="0" fillId="3" borderId="2" applyProtection="1" pivotButton="0" quotePrefix="0" xfId="0">
      <protection locked="0" hidden="0"/>
    </xf>
    <xf numFmtId="9" fontId="0" fillId="3" borderId="2" applyProtection="1" pivotButton="0" quotePrefix="0" xfId="0">
      <protection locked="0" hidden="0"/>
    </xf>
    <xf numFmtId="0" fontId="6" fillId="0" borderId="0" pivotButton="0" quotePrefix="0" xfId="0"/>
    <xf numFmtId="164" fontId="6" fillId="0" borderId="0" pivotButton="0" quotePrefix="0" xfId="0"/>
    <xf numFmtId="0" fontId="0" fillId="4" borderId="0" pivotButton="0" quotePrefix="0" xfId="0"/>
    <xf numFmtId="164" fontId="5" fillId="0" borderId="3" pivotButton="0" quotePrefix="0" xfId="0"/>
    <xf numFmtId="164" fontId="5" fillId="0" borderId="4" pivotButton="0" quotePrefix="0" xfId="0"/>
    <xf numFmtId="164" fontId="5" fillId="0" borderId="5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3" borderId="2" pivotButton="0" quotePrefix="0" xfId="0"/>
    <xf numFmtId="0" fontId="0" fillId="4" borderId="2" pivotButton="0" quotePrefix="0" xfId="0"/>
    <xf numFmtId="0" fontId="4" fillId="2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PAYE CALCULATOR (BASIC)</t>
        </is>
      </c>
    </row>
    <row r="3">
      <c r="B3" s="2" t="inlineStr">
        <is>
          <t>Estimate PAYE and NI for a single employee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6" ht="24" customHeight="1">
      <c r="B6" s="4" t="inlineStr">
        <is>
          <t>INPUTS</t>
        </is>
      </c>
      <c r="C6" s="5" t="n"/>
      <c r="D6" s="5" t="n"/>
      <c r="E6" s="5" t="n"/>
      <c r="F6" s="5" t="n"/>
      <c r="G6" s="5" t="n"/>
      <c r="H6" s="5" t="n"/>
    </row>
    <row r="7">
      <c r="B7" s="6" t="inlineStr">
        <is>
          <t>Gross annual salary</t>
        </is>
      </c>
      <c r="C7" s="7" t="n"/>
      <c r="D7" s="8" t="inlineStr">
        <is>
          <t>Tax code</t>
        </is>
      </c>
      <c r="E7" s="9" t="n"/>
      <c r="F7" s="8" t="inlineStr">
        <is>
          <t>Pension contribution (%)</t>
        </is>
      </c>
      <c r="G7" s="10" t="n">
        <v>0.05</v>
      </c>
      <c r="H7" s="9" t="n"/>
    </row>
    <row r="8">
      <c r="B8" s="6" t="inlineStr">
        <is>
          <t>Student loan (Plan type)</t>
        </is>
      </c>
      <c r="C8" s="9" t="n"/>
      <c r="D8" s="8" t="inlineStr">
        <is>
          <t>Age (for NI rate)</t>
        </is>
      </c>
      <c r="E8" s="9" t="inlineStr">
        <is>
          <t>1257L</t>
        </is>
      </c>
      <c r="F8" s="8" t="inlineStr">
        <is>
          <t>Tax year</t>
        </is>
      </c>
      <c r="G8" s="9" t="inlineStr">
        <is>
          <t>2024-25</t>
        </is>
      </c>
      <c r="H8" s="9" t="n"/>
    </row>
    <row r="10" ht="24" customHeight="1">
      <c r="B10" s="4" t="inlineStr">
        <is>
          <t>CALCULATIONS</t>
        </is>
      </c>
      <c r="C10" s="5" t="n"/>
      <c r="D10" s="5" t="n"/>
      <c r="E10" s="5" t="n"/>
      <c r="F10" s="5" t="n"/>
      <c r="G10" s="5" t="n"/>
      <c r="H10" s="5" t="n"/>
    </row>
    <row r="11">
      <c r="B11" s="11" t="inlineStr">
        <is>
          <t>Personal allowance</t>
        </is>
      </c>
      <c r="C11" s="12">
        <f>IF(E7="1257L",12570,0)</f>
        <v/>
      </c>
      <c r="D11" s="13" t="n"/>
    </row>
    <row r="12">
      <c r="B12" s="11" t="inlineStr">
        <is>
          <t>Taxable income</t>
        </is>
      </c>
      <c r="C12" s="12">
        <f>C7-C11</f>
        <v/>
      </c>
      <c r="D12" s="13" t="n"/>
    </row>
    <row r="13">
      <c r="B13" s="11" t="inlineStr">
        <is>
          <t>Income tax (20%)</t>
        </is>
      </c>
      <c r="C13" s="12">
        <f>IF(C12&gt;0,C12*0.2,0)</f>
        <v/>
      </c>
      <c r="D13" s="13" t="n"/>
    </row>
    <row r="14">
      <c r="B14" s="11" t="inlineStr">
        <is>
          <t>Employee NI (12%)</t>
        </is>
      </c>
      <c r="C14" s="12">
        <f>IF(C7&gt;12570,(C7-12570)*0.12,0)</f>
        <v/>
      </c>
      <c r="D14" s="13" t="n"/>
    </row>
    <row r="15">
      <c r="B15" s="11" t="inlineStr">
        <is>
          <t>Pension contribution</t>
        </is>
      </c>
      <c r="C15" s="12">
        <f>C7*G7</f>
        <v/>
      </c>
      <c r="D15" s="13" t="n"/>
    </row>
    <row r="16">
      <c r="B16" s="11" t="inlineStr">
        <is>
          <t>Student loan (9%)</t>
        </is>
      </c>
      <c r="C16" s="12">
        <f>IF(C8&lt;&gt;"None",C7*0.09,0)</f>
        <v/>
      </c>
      <c r="D16" s="13" t="n"/>
    </row>
    <row r="17">
      <c r="B17" s="11" t="inlineStr">
        <is>
          <t>Total deductions</t>
        </is>
      </c>
      <c r="C17" s="14">
        <f>SUM(C13:C16)</f>
        <v/>
      </c>
      <c r="D17" s="13" t="n"/>
    </row>
    <row r="18">
      <c r="B18" s="11" t="inlineStr">
        <is>
          <t>Net annual pay</t>
        </is>
      </c>
      <c r="C18" s="15">
        <f>C7-C17</f>
        <v/>
      </c>
      <c r="D18" s="13" t="n"/>
    </row>
    <row r="19">
      <c r="B19" s="11" t="inlineStr">
        <is>
          <t>Net monthly pay</t>
        </is>
      </c>
      <c r="C19" s="16">
        <f>C18/12</f>
        <v/>
      </c>
      <c r="D19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">
    <mergeCell ref="B6:H6"/>
    <mergeCell ref="B4:H4"/>
    <mergeCell ref="B10:H10"/>
  </mergeCells>
  <dataValidations count="2">
    <dataValidation sqref="C8" showDropDown="0" showInputMessage="0" showErrorMessage="0" allowBlank="1" type="list">
      <formula1>"Plan 1,Plan 2,Plan 4,Postgraduate,None"</formula1>
    </dataValidation>
    <dataValidation sqref="E8" showDropDown="0" showInputMessage="0" showErrorMessage="0" allowBlank="1" type="list">
      <formula1>"Under 21,21-65,Over 65"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PAYE CALCULATOR TEMPLATE</t>
        </is>
      </c>
    </row>
    <row r="3">
      <c r="B3" s="18" t="inlineStr">
        <is>
          <t>Estimate PAYE, NI, pension, and student loan deductions.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gross annual salary, tax code, pension %.</t>
        </is>
      </c>
    </row>
    <row r="8" ht="20" customHeight="1">
      <c r="B8" s="20" t="inlineStr">
        <is>
          <t>2. Select student loan plan and age bracket.</t>
        </is>
      </c>
    </row>
    <row r="9" ht="20" customHeight="1">
      <c r="B9" s="20" t="inlineStr">
        <is>
          <t>3. Enter tax year.</t>
        </is>
      </c>
    </row>
    <row r="10" ht="20" customHeight="1">
      <c r="B10" s="20" t="inlineStr">
        <is>
          <t>4. Personal allowance, taxable income, and deductions calculate automatically.</t>
        </is>
      </c>
    </row>
    <row r="11" ht="20" customHeight="1">
      <c r="B11" s="20" t="inlineStr">
        <is>
          <t>5. Net annual and monthly pay shown.</t>
        </is>
      </c>
    </row>
    <row r="12" ht="20" customHeight="1">
      <c r="B12" s="20" t="inlineStr">
        <is>
          <t>6. This is an estimate — use HMRC tools for exact figures.</t>
        </is>
      </c>
    </row>
    <row r="14">
      <c r="B14" s="19" t="inlineStr">
        <is>
          <t>Notes</t>
        </is>
      </c>
    </row>
    <row r="15" ht="20" customHeight="1">
      <c r="B15" s="20" t="inlineStr">
        <is>
          <t>• Blue cells = input, White = calculated.</t>
        </is>
      </c>
    </row>
    <row r="16" ht="20" customHeight="1">
      <c r="B16" s="20" t="inlineStr">
        <is>
          <t>• Tax code 1257L = standard personal allowance of £12,570.</t>
        </is>
      </c>
    </row>
    <row r="17" ht="20" customHeight="1">
      <c r="B17" s="20" t="inlineStr">
        <is>
          <t>• Income tax at 20% (basic rate) for simplicity.</t>
        </is>
      </c>
    </row>
    <row r="18" ht="20" customHeight="1">
      <c r="B18" s="20" t="inlineStr">
        <is>
          <t>• NI at 12% on earnings above threshold.</t>
        </is>
      </c>
    </row>
    <row r="19" ht="20" customHeight="1">
      <c r="B19" s="20" t="inlineStr">
        <is>
          <t>• Student loan at 9% for Plan 1/2/4.</t>
        </is>
      </c>
    </row>
    <row r="20" ht="20" customHeight="1">
      <c r="B20" s="20" t="inlineStr">
        <is>
          <t>• £ currency throughout.</t>
        </is>
      </c>
    </row>
    <row r="22" ht="24" customHeight="1">
      <c r="B22" s="19" t="inlineStr">
        <is>
          <t>Key</t>
        </is>
      </c>
    </row>
    <row r="23" ht="22" customHeight="1">
      <c r="B23" s="21" t="n"/>
      <c r="C23" s="20" t="inlineStr">
        <is>
          <t>You complete these (input cells)</t>
        </is>
      </c>
    </row>
    <row r="24" ht="22" customHeight="1">
      <c r="B24" s="22" t="n"/>
      <c r="C24" s="20" t="inlineStr">
        <is>
          <t>Calculated automatically &amp; locked (read-only)</t>
        </is>
      </c>
    </row>
    <row r="25" ht="28" customHeight="1">
      <c r="B25" s="23" t="inlineStr">
        <is>
          <t>Get more from your spreadsheets</t>
        </is>
      </c>
      <c r="C25" s="5" t="n"/>
      <c r="D25" s="5" t="n"/>
      <c r="E25" s="5" t="n"/>
      <c r="F25" s="5" t="n"/>
      <c r="G25" s="5" t="n"/>
      <c r="H25" s="5" t="n"/>
    </row>
    <row r="26">
      <c r="B26" s="24" t="inlineStr">
        <is>
          <t>OpenSheets — browse more free business templates (https://opensheets.co.uk)</t>
        </is>
      </c>
      <c r="C26" s="25" t="n"/>
      <c r="D26" s="25" t="n"/>
      <c r="E26" s="25" t="n"/>
      <c r="F26" s="25" t="n"/>
      <c r="G26" s="25" t="n"/>
      <c r="H26" s="25" t="n"/>
    </row>
    <row r="27">
      <c r="B27" s="25" t="n"/>
      <c r="C27" s="25" t="n"/>
      <c r="D27" s="25" t="n"/>
      <c r="E27" s="25" t="n"/>
      <c r="F27" s="25" t="n"/>
      <c r="G27" s="25" t="n"/>
      <c r="H27" s="25" t="n"/>
    </row>
    <row r="28">
      <c r="B28" s="25" t="n"/>
      <c r="C28" s="25" t="n"/>
      <c r="D28" s="25" t="n"/>
      <c r="E28" s="25" t="n"/>
      <c r="F28" s="25" t="n"/>
      <c r="G28" s="25" t="n"/>
      <c r="H28" s="25" t="n"/>
    </row>
    <row r="29">
      <c r="B29" s="24" t="inlineStr">
        <is>
          <t>Aligned.tax — file your MTD VAT &amp; Income Tax returns from your spreadsheet (https://aligned.tax)</t>
        </is>
      </c>
      <c r="C29" s="25" t="n"/>
      <c r="D29" s="25" t="n"/>
      <c r="E29" s="25" t="n"/>
      <c r="F29" s="25" t="n"/>
      <c r="G29" s="25" t="n"/>
      <c r="H29" s="25" t="n"/>
    </row>
    <row r="30">
      <c r="B30" s="25" t="n"/>
      <c r="C30" s="25" t="n"/>
      <c r="D30" s="25" t="n"/>
      <c r="E30" s="25" t="n"/>
      <c r="F30" s="25" t="n"/>
      <c r="G30" s="25" t="n"/>
      <c r="H30" s="25" t="n"/>
    </row>
    <row r="31">
      <c r="B31" s="25" t="n"/>
      <c r="C31" s="25" t="n"/>
      <c r="D31" s="25" t="n"/>
      <c r="E31" s="25" t="n"/>
      <c r="F31" s="25" t="n"/>
      <c r="G31" s="25" t="n"/>
      <c r="H31" s="25" t="n"/>
    </row>
    <row r="32" ht="20" customHeight="1">
      <c r="B32" s="26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