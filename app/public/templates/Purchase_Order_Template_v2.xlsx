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\£#,##0;\-\£#,##0;&quot;–&quot;"/>
    <numFmt numFmtId="165" formatCode="#,##0;\-#,##0;&quot;–&quot;"/>
    <numFmt numFmtId="166" formatCode="\£#,##0.00;\-\£#,##0.00;&quot;–&quot;"/>
  </numFmts>
  <fonts count="16">
    <font>
      <name val="Calibri"/>
      <family val="2"/>
      <color theme="1"/>
      <sz val="11"/>
      <scheme val="minor"/>
    </font>
    <font>
      <name val="Aptos Narrow"/>
      <b val="1"/>
      <color rgb="FF1F2937"/>
      <sz val="28"/>
    </font>
    <font>
      <name val="Aptos Narrow"/>
      <i val="1"/>
      <color rgb="FF9CA3AF"/>
      <sz val="10"/>
    </font>
    <font>
      <name val="Aptos Narrow"/>
      <b val="1"/>
      <color rgb="FF374151"/>
      <sz val="11"/>
    </font>
    <font>
      <name val="Aptos Narrow"/>
      <b val="1"/>
      <color rgb="FF6B7280"/>
      <sz val="11"/>
    </font>
    <font>
      <name val="Aptos Narrow"/>
      <i val="1"/>
      <color rgb="FF9CA3AF"/>
      <sz val="12"/>
    </font>
    <font>
      <name val="Aptos Narrow"/>
      <color rgb="FF1F2937"/>
      <sz val="12"/>
    </font>
    <font>
      <name val="Aptos Narrow"/>
      <b val="1"/>
      <color rgb="FFFFFFFF"/>
      <sz val="9.5"/>
    </font>
    <font>
      <name val="Aptos Narrow"/>
      <b val="1"/>
      <color rgb="FFFFFFFF"/>
      <sz val="16"/>
    </font>
    <font>
      <name val="Aptos Narrow"/>
      <b val="1"/>
      <color rgb="FF1F2937"/>
      <sz val="13"/>
    </font>
    <font>
      <name val="Aptos Narrow"/>
      <color theme="1"/>
      <sz val="13"/>
    </font>
    <font>
      <name val="Aptos Narrow"/>
      <color rgb="FF374151"/>
      <sz val="13"/>
    </font>
    <font>
      <name val="Aptos Narrow"/>
      <b val="1"/>
      <color rgb="FF1F2937"/>
      <sz val="15"/>
    </font>
    <font>
      <name val="Aptos Narrow"/>
      <i val="1"/>
      <color rgb="FF9CA3AF"/>
      <sz val="11"/>
    </font>
    <font>
      <name val="Aptos Narrow"/>
      <b val="1"/>
      <color rgb="FF1F2937"/>
      <sz val="12"/>
    </font>
    <font>
      <name val="Aptos Narrow"/>
      <color rgb="FF6B7280"/>
      <sz val="11"/>
    </font>
  </fonts>
  <fills count="7">
    <fill>
      <patternFill/>
    </fill>
    <fill>
      <patternFill patternType="gray125"/>
    </fill>
    <fill>
      <patternFill patternType="solid">
        <fgColor rgb="FFDBEAFE"/>
        <bgColor rgb="FFDBEAFE"/>
      </patternFill>
    </fill>
    <fill>
      <patternFill patternType="solid">
        <fgColor rgb="FF1E40AF"/>
        <bgColor rgb="FF1E40AF"/>
      </patternFill>
    </fill>
    <fill>
      <patternFill patternType="solid">
        <fgColor rgb="FF1F2937"/>
        <b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EFF3FB"/>
        <bgColor rgb="FFEFF3FB"/>
      </patternFill>
    </fill>
  </fills>
  <borders count="15">
    <border>
      <left/>
      <right/>
      <top/>
      <bottom/>
      <diagonal/>
    </border>
    <border>
      <left style="dashed">
        <color rgb="FF9CA3AF"/>
      </left>
      <right style="dashed">
        <color rgb="FF9CA3AF"/>
      </right>
      <top style="dashed">
        <color rgb="FF9CA3AF"/>
      </top>
      <bottom style="dashed">
        <color rgb="FF9CA3AF"/>
      </bottom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CBD5E1"/>
      </bottom>
    </border>
    <border>
      <left style="thin">
        <color rgb="FF9CA3AF"/>
      </left>
      <right style="thin">
        <color rgb="FF9CA3AF"/>
      </right>
      <top style="thin">
        <color rgb="FFCBD5E1"/>
      </top>
      <bottom style="thin">
        <color rgb="FFCBD5E1"/>
      </bottom>
    </border>
    <border>
      <left style="thin">
        <color rgb="FF9CA3AF"/>
      </left>
      <right style="thin">
        <color rgb="FF9CA3AF"/>
      </right>
      <top style="thin">
        <color rgb="FFCBD5E1"/>
      </top>
      <bottom style="thin">
        <color rgb="FF9CA3AF"/>
      </bottom>
    </border>
    <border/>
    <border>
      <left style="thin">
        <color rgb="FF9CA3AF"/>
      </left>
      <right style="thin">
        <color rgb="FF9CA3AF"/>
      </right>
      <top style="thin">
        <color rgb="FF9CA3AF"/>
      </top>
    </border>
    <border>
      <left style="thin">
        <color rgb="FF9CA3AF"/>
      </left>
      <right style="thin">
        <color rgb="FF9CA3AF"/>
      </right>
    </border>
    <border>
      <left style="thin">
        <color rgb="FF9CA3AF"/>
      </left>
      <right style="thin">
        <color rgb="FF9CA3AF"/>
      </right>
      <bottom style="thin">
        <color rgb="FF9CA3AF"/>
      </bottom>
    </border>
    <border>
      <right style="medium">
        <color rgb="FFFFFFFF"/>
      </right>
    </border>
    <border>
      <bottom style="thick">
        <color rgb="FF1E40AF"/>
      </bottom>
    </border>
    <border>
      <top style="thin">
        <color rgb="FFE5E7EB"/>
      </top>
    </border>
    <border>
      <top style="medium">
        <color rgb="FF1E40AF"/>
      </top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bottom style="thin">
        <color rgb="FF1F2937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5" applyAlignment="1" pivotButton="0" quotePrefix="0" xfId="0">
      <alignment horizontal="right" vertical="center"/>
    </xf>
    <xf numFmtId="0" fontId="6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2" borderId="8" applyAlignment="1" pivotButton="0" quotePrefix="0" xfId="0">
      <alignment horizontal="left" vertical="center"/>
    </xf>
    <xf numFmtId="0" fontId="5" fillId="2" borderId="4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164" fontId="8" fillId="4" borderId="5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/>
    </xf>
    <xf numFmtId="165" fontId="10" fillId="5" borderId="0" applyAlignment="1" pivotButton="0" quotePrefix="0" xfId="0">
      <alignment horizontal="center" vertical="center"/>
    </xf>
    <xf numFmtId="166" fontId="10" fillId="5" borderId="0" applyAlignment="1" pivotButton="0" quotePrefix="0" xfId="0">
      <alignment horizontal="center" vertical="center"/>
    </xf>
    <xf numFmtId="166" fontId="10" fillId="5" borderId="0" applyAlignment="1" pivotButton="0" quotePrefix="0" xfId="0">
      <alignment horizontal="right" vertical="center"/>
    </xf>
    <xf numFmtId="9" fontId="10" fillId="5" borderId="0" applyAlignment="1" pivotButton="0" quotePrefix="0" xfId="0">
      <alignment horizontal="center" vertical="center"/>
    </xf>
    <xf numFmtId="166" fontId="10" fillId="6" borderId="0" applyAlignment="1" pivotButton="0" quotePrefix="0" xfId="0">
      <alignment horizontal="right" vertical="center"/>
    </xf>
    <xf numFmtId="0" fontId="11" fillId="0" borderId="11" applyAlignment="1" pivotButton="0" quotePrefix="0" xfId="0">
      <alignment horizontal="right" vertical="center"/>
    </xf>
    <xf numFmtId="166" fontId="11" fillId="0" borderId="1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166" fontId="11" fillId="6" borderId="0" applyAlignment="1" pivotButton="0" quotePrefix="0" xfId="0">
      <alignment horizontal="right" vertical="center"/>
    </xf>
    <xf numFmtId="0" fontId="12" fillId="0" borderId="12" applyAlignment="1" pivotButton="0" quotePrefix="0" xfId="0">
      <alignment horizontal="right" vertical="center"/>
    </xf>
    <xf numFmtId="166" fontId="12" fillId="0" borderId="12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13" fillId="2" borderId="13" applyAlignment="1" pivotButton="0" quotePrefix="0" xfId="0">
      <alignment horizontal="left" vertical="top" wrapText="1"/>
    </xf>
    <xf numFmtId="0" fontId="0" fillId="0" borderId="14" applyAlignment="1" pivotButton="0" quotePrefix="0" xfId="0">
      <alignment horizontal="center" vertical="center"/>
    </xf>
    <xf numFmtId="0" fontId="14" fillId="0" borderId="11" pivotButton="0" quotePrefix="0" xfId="0"/>
    <xf numFmtId="0" fontId="15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2"/>
  <sheetViews>
    <sheetView showGridLines="0" workbookViewId="0">
      <selection activeCell="A1" sqref="A1"/>
    </sheetView>
  </sheetViews>
  <sheetFormatPr baseColWidth="8" defaultRowHeight="15"/>
  <cols>
    <col width="3.43" customWidth="1" min="1" max="1"/>
    <col width="47.57" customWidth="1" min="2" max="2"/>
    <col width="13.29" customWidth="1" min="3" max="3"/>
    <col width="16.14" customWidth="1" min="4" max="4"/>
    <col width="17.14" customWidth="1" min="5" max="5"/>
    <col width="11.43" customWidth="1" min="6" max="6"/>
    <col width="16.14" customWidth="1" min="7" max="7"/>
    <col width="18.14" customWidth="1" min="8" max="8"/>
    <col width="13" customWidth="1" min="9" max="9"/>
  </cols>
  <sheetData>
    <row r="2" ht="38.1" customHeight="1">
      <c r="B2" s="1" t="inlineStr">
        <is>
          <t>Purchase Order</t>
        </is>
      </c>
      <c r="G2" s="2" t="inlineStr">
        <is>
          <t>Add your logo here</t>
        </is>
      </c>
    </row>
    <row r="3" ht="18" customHeight="1">
      <c r="B3" s="3">
        <f>B40&amp;"   ·   "&amp;B41</f>
        <v/>
      </c>
    </row>
    <row r="4"/>
    <row r="6" ht="18.95" customHeight="1">
      <c r="B6" s="4" t="inlineStr">
        <is>
          <t>SUPPLIER</t>
        </is>
      </c>
      <c r="E6" s="5" t="inlineStr">
        <is>
          <t>PO NO.</t>
        </is>
      </c>
      <c r="G6" s="6" t="inlineStr">
        <is>
          <t>PO-0001</t>
        </is>
      </c>
    </row>
    <row r="7" ht="18.95" customHeight="1">
      <c r="B7" s="7" t="inlineStr">
        <is>
          <t>Supplier name</t>
        </is>
      </c>
      <c r="E7" s="5" t="inlineStr">
        <is>
          <t>ORDER DATE</t>
        </is>
      </c>
      <c r="G7" s="8">
        <f>DATE(2026,6,18)</f>
        <v/>
      </c>
    </row>
    <row r="8" ht="18.95" customHeight="1">
      <c r="B8" s="9" t="inlineStr">
        <is>
          <t>Address</t>
        </is>
      </c>
      <c r="E8" s="5" t="inlineStr">
        <is>
          <t>REQUIRED BY</t>
        </is>
      </c>
      <c r="G8" s="8">
        <f>DATE(2026,7,2)</f>
        <v/>
      </c>
    </row>
    <row r="9" ht="18.95" customHeight="1">
      <c r="B9" s="9" t="inlineStr">
        <is>
          <t>Town / City</t>
        </is>
      </c>
      <c r="E9" s="5" t="inlineStr">
        <is>
          <t>BUYER</t>
        </is>
      </c>
      <c r="G9" s="8" t="inlineStr">
        <is>
          <t>Buyer name</t>
        </is>
      </c>
    </row>
    <row r="10" ht="18.95" customHeight="1">
      <c r="B10" s="9" t="inlineStr">
        <is>
          <t>County</t>
        </is>
      </c>
      <c r="E10" s="5" t="inlineStr">
        <is>
          <t>DELIVERY TERMS</t>
        </is>
      </c>
      <c r="G10" s="10" t="inlineStr">
        <is>
          <t>e.g. FOB / Delivered</t>
        </is>
      </c>
    </row>
    <row r="11" ht="18.95" customHeight="1">
      <c r="B11" s="9" t="inlineStr">
        <is>
          <t>Postcode</t>
        </is>
      </c>
    </row>
    <row r="12" ht="18.95" customHeight="1">
      <c r="B12" s="9" t="inlineStr">
        <is>
          <t>Phone</t>
        </is>
      </c>
    </row>
    <row r="13" ht="18.95" customHeight="1">
      <c r="B13" s="11" t="inlineStr">
        <is>
          <t>Email</t>
        </is>
      </c>
    </row>
    <row r="15" ht="15.95" customHeight="1">
      <c r="B15" s="12" t="inlineStr">
        <is>
          <t>PO NO.</t>
        </is>
      </c>
      <c r="D15" s="12" t="inlineStr">
        <is>
          <t>ORDER DATE</t>
        </is>
      </c>
      <c r="F15" s="12" t="inlineStr">
        <is>
          <t>REQUIRED BY</t>
        </is>
      </c>
      <c r="H15" s="13" t="inlineStr">
        <is>
          <t>ORDER TOTAL</t>
        </is>
      </c>
    </row>
    <row r="16" ht="30" customHeight="1">
      <c r="B16" s="14">
        <f>G6</f>
        <v/>
      </c>
      <c r="D16" s="14">
        <f>G7</f>
        <v/>
      </c>
      <c r="F16" s="14">
        <f>G8</f>
        <v/>
      </c>
      <c r="H16" s="15">
        <f>H33</f>
        <v/>
      </c>
    </row>
    <row r="18" ht="24" customHeight="1">
      <c r="B18" s="16" t="inlineStr">
        <is>
          <t>Description / Part</t>
        </is>
      </c>
      <c r="C18" s="17" t="inlineStr">
        <is>
          <t>Qty</t>
        </is>
      </c>
      <c r="D18" s="17" t="inlineStr">
        <is>
          <t>Unit price</t>
        </is>
      </c>
      <c r="E18" s="18" t="inlineStr">
        <is>
          <t>Net</t>
        </is>
      </c>
      <c r="F18" s="17" t="inlineStr">
        <is>
          <t>VAT %</t>
        </is>
      </c>
      <c r="G18" s="18" t="inlineStr">
        <is>
          <t>VAT</t>
        </is>
      </c>
      <c r="H18" s="18" t="inlineStr">
        <is>
          <t>Amount</t>
        </is>
      </c>
    </row>
    <row r="19" ht="20.1" customHeight="1">
      <c r="B19" s="19" t="n"/>
      <c r="C19" s="20" t="n"/>
      <c r="D19" s="21" t="n"/>
      <c r="E19" s="22">
        <f>IF(AND(C19="",D19=""),"",C19*D19)</f>
        <v/>
      </c>
      <c r="F19" s="23" t="n">
        <v>0.05</v>
      </c>
      <c r="G19" s="22">
        <f>IF(E19="","",E19*F19)</f>
        <v/>
      </c>
      <c r="H19" s="22">
        <f>IF(E19="","",E19+G19)</f>
        <v/>
      </c>
    </row>
    <row r="20" ht="20.1" customHeight="1">
      <c r="B20" s="19" t="n"/>
      <c r="C20" s="20" t="n"/>
      <c r="D20" s="21" t="n"/>
      <c r="E20" s="24">
        <f>IF(AND(C20="",D20=""),"",C20*D20)</f>
        <v/>
      </c>
      <c r="F20" s="23" t="n">
        <v>0.2</v>
      </c>
      <c r="G20" s="24">
        <f>IF(E20="","",E20*F20)</f>
        <v/>
      </c>
      <c r="H20" s="24">
        <f>IF(E20="","",E20+G20)</f>
        <v/>
      </c>
    </row>
    <row r="21" ht="20.1" customHeight="1">
      <c r="B21" s="19" t="n"/>
      <c r="C21" s="20" t="n"/>
      <c r="D21" s="21" t="n"/>
      <c r="E21" s="22">
        <f>IF(AND(C21="",D21=""),"",C21*D21)</f>
        <v/>
      </c>
      <c r="F21" s="23" t="n">
        <v>0.2</v>
      </c>
      <c r="G21" s="22">
        <f>IF(E21="","",E21*F21)</f>
        <v/>
      </c>
      <c r="H21" s="22">
        <f>IF(E21="","",E21+G21)</f>
        <v/>
      </c>
    </row>
    <row r="22" ht="20.1" customHeight="1">
      <c r="B22" s="19" t="n"/>
      <c r="C22" s="20" t="n"/>
      <c r="D22" s="21" t="n"/>
      <c r="E22" s="24">
        <f>IF(AND(C22="",D22=""),"",C22*D22)</f>
        <v/>
      </c>
      <c r="F22" s="23" t="n">
        <v>0.2</v>
      </c>
      <c r="G22" s="24">
        <f>IF(E22="","",E22*F22)</f>
        <v/>
      </c>
      <c r="H22" s="24">
        <f>IF(E22="","",E22+G22)</f>
        <v/>
      </c>
    </row>
    <row r="23" ht="20.1" customHeight="1">
      <c r="B23" s="19" t="n"/>
      <c r="C23" s="20" t="n"/>
      <c r="D23" s="21" t="n"/>
      <c r="E23" s="22">
        <f>IF(AND(C23="",D23=""),"",C23*D23)</f>
        <v/>
      </c>
      <c r="F23" s="23" t="n">
        <v>0.2</v>
      </c>
      <c r="G23" s="22">
        <f>IF(E23="","",E23*F23)</f>
        <v/>
      </c>
      <c r="H23" s="22">
        <f>IF(E23="","",E23+G23)</f>
        <v/>
      </c>
    </row>
    <row r="24" ht="20.1" customHeight="1">
      <c r="B24" s="19" t="n"/>
      <c r="C24" s="20" t="n"/>
      <c r="D24" s="21" t="n"/>
      <c r="E24" s="24">
        <f>IF(AND(C24="",D24=""),"",C24*D24)</f>
        <v/>
      </c>
      <c r="F24" s="23" t="n">
        <v>0.2</v>
      </c>
      <c r="G24" s="24">
        <f>IF(E24="","",E24*F24)</f>
        <v/>
      </c>
      <c r="H24" s="24">
        <f>IF(E24="","",E24+G24)</f>
        <v/>
      </c>
    </row>
    <row r="25" ht="20.1" customHeight="1">
      <c r="B25" s="19" t="n"/>
      <c r="C25" s="20" t="n"/>
      <c r="D25" s="21" t="n"/>
      <c r="E25" s="22">
        <f>IF(AND(C25="",D25=""),"",C25*D25)</f>
        <v/>
      </c>
      <c r="F25" s="23" t="n">
        <v>0.2</v>
      </c>
      <c r="G25" s="22">
        <f>IF(E25="","",E25*F25)</f>
        <v/>
      </c>
      <c r="H25" s="22">
        <f>IF(E25="","",E25+G25)</f>
        <v/>
      </c>
    </row>
    <row r="26" ht="20.1" customHeight="1">
      <c r="B26" s="19" t="n"/>
      <c r="C26" s="20" t="n"/>
      <c r="D26" s="21" t="n"/>
      <c r="E26" s="24">
        <f>IF(AND(C26="",D26=""),"",C26*D26)</f>
        <v/>
      </c>
      <c r="F26" s="23" t="n">
        <v>0.2</v>
      </c>
      <c r="G26" s="24">
        <f>IF(E26="","",E26*F26)</f>
        <v/>
      </c>
      <c r="H26" s="24">
        <f>IF(E26="","",E26+G26)</f>
        <v/>
      </c>
    </row>
    <row r="27" ht="20.1" customHeight="1">
      <c r="B27" s="19" t="n"/>
      <c r="C27" s="20" t="n"/>
      <c r="D27" s="21" t="n"/>
      <c r="E27" s="22">
        <f>IF(AND(C27="",D27=""),"",C27*D27)</f>
        <v/>
      </c>
      <c r="F27" s="23" t="n">
        <v>0.2</v>
      </c>
      <c r="G27" s="22">
        <f>IF(E27="","",E27*F27)</f>
        <v/>
      </c>
      <c r="H27" s="22">
        <f>IF(E27="","",E27+G27)</f>
        <v/>
      </c>
    </row>
    <row r="28" ht="20.1" customHeight="1">
      <c r="B28" s="19" t="n"/>
      <c r="C28" s="20" t="n"/>
      <c r="D28" s="21" t="n"/>
      <c r="E28" s="24">
        <f>IF(AND(C28="",D28=""),"",C28*D28)</f>
        <v/>
      </c>
      <c r="F28" s="23" t="n">
        <v>0.2</v>
      </c>
      <c r="G28" s="24">
        <f>IF(E28="","",E28*F28)</f>
        <v/>
      </c>
      <c r="H28" s="24">
        <f>IF(E28="","",E28+G28)</f>
        <v/>
      </c>
    </row>
    <row r="29" ht="20.1" customHeight="1">
      <c r="B29" s="19" t="n"/>
      <c r="C29" s="20" t="n"/>
      <c r="D29" s="21" t="n"/>
      <c r="E29" s="22">
        <f>IF(AND(C29="",D29=""),"",C29*D29)</f>
        <v/>
      </c>
      <c r="F29" s="23" t="n">
        <v>0.2</v>
      </c>
      <c r="G29" s="22">
        <f>IF(E29="","",E29*F29)</f>
        <v/>
      </c>
      <c r="H29" s="22">
        <f>IF(E29="","",E29+G29)</f>
        <v/>
      </c>
    </row>
    <row r="30" ht="20.1" customHeight="1">
      <c r="B30" s="19" t="n"/>
      <c r="C30" s="20" t="n"/>
      <c r="D30" s="21" t="n"/>
      <c r="E30" s="24">
        <f>IF(AND(C30="",D30=""),"",C30*D30)</f>
        <v/>
      </c>
      <c r="F30" s="23" t="n">
        <v>0.2</v>
      </c>
      <c r="G30" s="24">
        <f>IF(E30="","",E30*F30)</f>
        <v/>
      </c>
      <c r="H30" s="24">
        <f>IF(E30="","",E30+G30)</f>
        <v/>
      </c>
    </row>
    <row r="31">
      <c r="F31" s="25" t="inlineStr">
        <is>
          <t>Subtotal</t>
        </is>
      </c>
      <c r="H31" s="26">
        <f>SUM(E19:E30)</f>
        <v/>
      </c>
    </row>
    <row r="32">
      <c r="F32" s="27" t="inlineStr">
        <is>
          <t>VAT</t>
        </is>
      </c>
      <c r="H32" s="28">
        <f>SUM(G19:G30)</f>
        <v/>
      </c>
    </row>
    <row r="33">
      <c r="F33" s="29" t="inlineStr">
        <is>
          <t>TOTAL</t>
        </is>
      </c>
      <c r="H33" s="30">
        <f>H31+H32</f>
        <v/>
      </c>
    </row>
    <row r="35" ht="18" customHeight="1">
      <c r="B35" s="4" t="inlineStr">
        <is>
          <t>NOTES</t>
        </is>
      </c>
      <c r="F35" s="31" t="inlineStr">
        <is>
          <t>Issued by, signature:</t>
        </is>
      </c>
    </row>
    <row r="36" ht="21.95" customHeight="1">
      <c r="B36" s="32" t="inlineStr">
        <is>
          <t>Delivery instructions, references, special terms…</t>
        </is>
      </c>
      <c r="F36" s="33" t="n"/>
    </row>
    <row r="37"/>
    <row r="38"/>
    <row r="40" ht="18" customHeight="1">
      <c r="B40" s="34" t="inlineStr">
        <is>
          <t>Your Company Ltd</t>
        </is>
      </c>
    </row>
    <row r="41" ht="15.95" customHeight="1">
      <c r="B41" s="35" t="inlineStr">
        <is>
          <t>123 Example Street, London, EC1A 1BB</t>
        </is>
      </c>
    </row>
    <row r="42" ht="15.95" customHeight="1">
      <c r="B42" s="35" t="inlineStr">
        <is>
          <t>Tel 020 0000 0000   ·   accounts@yourcompany.co.uk   ·   VAT Reg GB000000000</t>
        </is>
      </c>
    </row>
  </sheetData>
  <mergeCells count="28">
    <mergeCell ref="B16:C16"/>
    <mergeCell ref="B7:C7"/>
    <mergeCell ref="F16:G16"/>
    <mergeCell ref="G8:H8"/>
    <mergeCell ref="E8:F8"/>
    <mergeCell ref="B12:C12"/>
    <mergeCell ref="G2:H4"/>
    <mergeCell ref="B11:C11"/>
    <mergeCell ref="G7:H7"/>
    <mergeCell ref="E10:F10"/>
    <mergeCell ref="F15:G15"/>
    <mergeCell ref="G10:H10"/>
    <mergeCell ref="F33:G33"/>
    <mergeCell ref="G6:H6"/>
    <mergeCell ref="F32:G32"/>
    <mergeCell ref="E9:F9"/>
    <mergeCell ref="B8:C8"/>
    <mergeCell ref="B13:C13"/>
    <mergeCell ref="D16:E16"/>
    <mergeCell ref="E6:F6"/>
    <mergeCell ref="B36:D38"/>
    <mergeCell ref="B10:C10"/>
    <mergeCell ref="F31:G31"/>
    <mergeCell ref="B9:C9"/>
    <mergeCell ref="B15:C15"/>
    <mergeCell ref="E7:F7"/>
    <mergeCell ref="D15:E15"/>
    <mergeCell ref="G9:H9"/>
  </mergeCells>
  <dataValidations count="1">
    <dataValidation sqref="F19 F20 F21 F22 F23 F24 F25 F26 F27 F28 F29 F30" showDropDown="0" showInputMessage="0" showErrorMessage="0" allowBlank="1" type="list">
      <formula1>"0,0.05,0.2"</formula1>
    </dataValidation>
  </dataValidations>
  <printOptions horizontalCentered="1"/>
  <pageMargins left="0.25" right="0.25" top="0.33" bottom="0.33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2026-06-18T17:59:16Z</dcterms:created>
  <dcterms:modified xsi:type="dcterms:W3CDTF">2026-06-18T17:59:16Z</dcterms:modified>
</cp:coreProperties>
</file>