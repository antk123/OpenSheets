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ileage Log" sheetId="2" state="visible" r:id="rId2"/>
    <sheet xmlns:r="http://schemas.openxmlformats.org/officeDocument/2006/relationships" name="Annual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£0.00"/>
    <numFmt numFmtId="165" formatCode="\£#,##0.00"/>
    <numFmt numFmtId="166" formatCode="£0.00"/>
    <numFmt numFmtId="167" formatCode="£#,##0.00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22B49"/>
      <sz val="22"/>
    </font>
    <font>
      <name val="Calibri"/>
      <charset val="1"/>
      <family val="0"/>
      <b val="1"/>
      <color rgb="FF122B49"/>
      <sz val="13"/>
    </font>
    <font>
      <name val="Calibri"/>
      <charset val="1"/>
      <family val="0"/>
      <b val="1"/>
      <color rgb="FF2C3E50"/>
      <sz val="11"/>
    </font>
    <font>
      <name val="Calibri"/>
      <charset val="1"/>
      <family val="0"/>
      <color rgb="FF2C3E5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7F8C8D"/>
      <sz val="10"/>
    </font>
    <font>
      <name val="Calibri"/>
      <charset val="1"/>
      <family val="0"/>
      <color rgb="FF2980B9"/>
      <sz val="11"/>
    </font>
    <font>
      <name val="Calibri"/>
      <charset val="1"/>
      <family val="0"/>
      <b val="1"/>
      <color rgb="FF122B49"/>
      <sz val="11"/>
    </font>
    <font>
      <name val="Calibri"/>
      <charset val="1"/>
      <family val="0"/>
      <b val="1"/>
      <color rgb="FF122B49"/>
      <sz val="12"/>
    </font>
    <font>
      <name val="Calibri"/>
      <color rgb="002C3E50"/>
      <sz val="11"/>
    </font>
  </fonts>
  <fills count="4">
    <fill>
      <patternFill/>
    </fill>
    <fill>
      <patternFill patternType="gray125"/>
    </fill>
    <fill>
      <patternFill patternType="solid">
        <fgColor rgb="FF122B49"/>
        <bgColor rgb="FF2C3E50"/>
      </patternFill>
    </fill>
    <fill>
      <patternFill patternType="solid">
        <fgColor rgb="FFFFF3E0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7F8C8D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B49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122B49"/>
    <outlinePr summaryBelow="1" summaryRight="1"/>
    <pageSetUpPr fitToPage="0"/>
  </sheetPr>
  <dimension ref="A1:I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28" customWidth="1" style="21" min="2" max="2"/>
    <col width="55" customWidth="1" style="21" min="3" max="3"/>
  </cols>
  <sheetData>
    <row r="1" ht="45" customHeight="1" s="22">
      <c r="A1" s="23" t="n"/>
      <c r="B1" s="24" t="inlineStr">
        <is>
          <t>BUSINESS MILEAGE LOG</t>
        </is>
      </c>
      <c r="C1" s="23" t="n"/>
      <c r="D1" s="23" t="n"/>
      <c r="E1" s="23" t="n"/>
      <c r="F1" s="23" t="n"/>
      <c r="G1" s="23" t="n"/>
      <c r="H1" s="23" t="n"/>
      <c r="I1" s="23" t="n"/>
    </row>
    <row r="2" ht="15" customHeight="1" s="22">
      <c r="B2" s="25" t="inlineStr">
        <is>
          <t>HMRC-Compliant Mileage Tracker 2025/26</t>
        </is>
      </c>
    </row>
    <row r="4" ht="15" customHeight="1" s="22">
      <c r="B4" s="26" t="inlineStr">
        <is>
          <t>HMRC Rates 2025/26</t>
        </is>
      </c>
      <c r="C4" s="27" t="inlineStr">
        <is>
          <t>First 10,000 business miles: 45p per mile</t>
        </is>
      </c>
    </row>
    <row r="5" ht="15" customHeight="1" s="22">
      <c r="B5" s="27" t="n"/>
      <c r="C5" s="27" t="inlineStr">
        <is>
          <t>Over 10,000 business miles: 25p per mile</t>
        </is>
      </c>
    </row>
    <row r="6" ht="15" customHeight="1" s="22">
      <c r="B6" s="27" t="n"/>
      <c r="C6" s="27" t="inlineStr">
        <is>
          <t>Passenger supplement: 5p per mile per passenger</t>
        </is>
      </c>
    </row>
    <row r="7" ht="15" customHeight="1" s="22">
      <c r="B7" s="26" t="inlineStr">
        <is>
          <t>Rules</t>
        </is>
      </c>
      <c r="C7" s="27" t="inlineStr">
        <is>
          <t>Only business journeys count (not commuting from home to a permanent workplace).</t>
        </is>
      </c>
    </row>
    <row r="8" ht="15" customHeight="1" s="22">
      <c r="B8" s="26" t="inlineStr">
        <is>
          <t>Records</t>
        </is>
      </c>
      <c r="C8" s="27" t="inlineStr">
        <is>
          <t>Log every business journey with date, from, to, purpose and miles.</t>
        </is>
      </c>
    </row>
    <row r="9" ht="15" customHeight="1" s="22">
      <c r="B9" s="26" t="inlineStr">
        <is>
          <t>Keep</t>
        </is>
      </c>
      <c r="C9" s="27" t="inlineStr">
        <is>
          <t>Retain this log for at least 5 years.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J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13" customWidth="1" style="21" min="2" max="2"/>
    <col width="14" customWidth="1" style="21" min="3" max="3"/>
    <col width="22" customWidth="1" style="21" min="4" max="4"/>
    <col width="26" customWidth="1" style="21" min="5" max="5"/>
    <col width="28" customWidth="1" style="21" min="6" max="6"/>
    <col width="10" customWidth="1" style="21" min="7" max="7"/>
    <col width="12" customWidth="1" style="21" min="8" max="9"/>
    <col width="14" customWidth="1" style="21" min="10" max="10"/>
  </cols>
  <sheetData>
    <row r="1" ht="39.75" customHeight="1" s="22">
      <c r="A1" s="28" t="n"/>
      <c r="B1" s="29" t="inlineStr">
        <is>
          <t>BUSINESS MILEAGE LOG</t>
        </is>
      </c>
      <c r="C1" s="30" t="inlineStr">
        <is>
          <t>2025/26 Tax Year</t>
        </is>
      </c>
      <c r="D1" s="28" t="n"/>
      <c r="E1" s="28" t="n"/>
      <c r="F1" s="28" t="n"/>
      <c r="G1" s="28" t="n"/>
      <c r="H1" s="28" t="n"/>
      <c r="I1" s="28" t="n"/>
    </row>
    <row r="3" ht="15" customHeight="1" s="22">
      <c r="B3" s="28" t="inlineStr">
        <is>
          <t>Date</t>
        </is>
      </c>
      <c r="C3" s="28" t="inlineStr">
        <is>
          <t>Vehicle</t>
        </is>
      </c>
      <c r="D3" s="28" t="inlineStr">
        <is>
          <t>From</t>
        </is>
      </c>
      <c r="E3" s="28" t="inlineStr">
        <is>
          <t>To</t>
        </is>
      </c>
      <c r="F3" s="28" t="inlineStr">
        <is>
          <t>Purpose</t>
        </is>
      </c>
      <c r="G3" s="28" t="inlineStr">
        <is>
          <t>Miles</t>
        </is>
      </c>
      <c r="H3" s="28" t="inlineStr">
        <is>
          <t>Passengers</t>
        </is>
      </c>
      <c r="I3" s="28" t="inlineStr">
        <is>
          <t>Claim Rate</t>
        </is>
      </c>
      <c r="J3" s="28" t="inlineStr">
        <is>
          <t>Claim Amount</t>
        </is>
      </c>
    </row>
    <row r="4" ht="15" customHeight="1" s="22">
      <c r="B4" s="31" t="inlineStr">
        <is>
          <t>EXAMPLE:</t>
        </is>
      </c>
      <c r="C4" s="27" t="inlineStr">
        <is>
          <t>Ford Focus</t>
        </is>
      </c>
      <c r="D4" s="27" t="inlineStr">
        <is>
          <t>Home</t>
        </is>
      </c>
      <c r="E4" s="27" t="inlineStr">
        <is>
          <t>ABC Ltd, Manchester</t>
        </is>
      </c>
      <c r="F4" s="27" t="inlineStr">
        <is>
          <t>Client meeting</t>
        </is>
      </c>
      <c r="G4" s="31" t="n">
        <v>24</v>
      </c>
      <c r="H4" s="31" t="n">
        <v>0</v>
      </c>
      <c r="I4" s="32">
        <f>IF(SUM($G$4:G4)&lt;=10000,0.45,0.25)</f>
        <v/>
      </c>
      <c r="J4" s="33">
        <f>G4*I4+H4*0.05*G4</f>
        <v/>
      </c>
    </row>
    <row r="5" ht="15" customHeight="1" s="22">
      <c r="B5" s="31" t="n"/>
      <c r="C5" s="27" t="inlineStr">
        <is>
          <t>Ford Focus</t>
        </is>
      </c>
      <c r="D5" s="27" t="inlineStr">
        <is>
          <t>Home</t>
        </is>
      </c>
      <c r="E5" s="27" t="inlineStr">
        <is>
          <t>Leeds</t>
        </is>
      </c>
      <c r="F5" s="27" t="inlineStr">
        <is>
          <t>Site visit</t>
        </is>
      </c>
      <c r="G5" s="31" t="n">
        <v>42</v>
      </c>
      <c r="H5" s="31" t="n">
        <v>1</v>
      </c>
      <c r="I5" s="32">
        <f>IF(SUM($G$4:G5)&lt;=10000,0.45,0.25)</f>
        <v/>
      </c>
      <c r="J5" s="33">
        <f>G5*I5+H5*0.05*G5</f>
        <v/>
      </c>
    </row>
    <row r="6" ht="15" customHeight="1" s="22">
      <c r="B6" s="31" t="n"/>
      <c r="C6" s="27" t="inlineStr">
        <is>
          <t>Ford Focus</t>
        </is>
      </c>
      <c r="D6" s="27" t="inlineStr">
        <is>
          <t>Home</t>
        </is>
      </c>
      <c r="E6" s="27" t="inlineStr">
        <is>
          <t>Post Office</t>
        </is>
      </c>
      <c r="F6" s="27" t="inlineStr">
        <is>
          <t>Business post</t>
        </is>
      </c>
      <c r="G6" s="31" t="n">
        <v>3</v>
      </c>
      <c r="H6" s="31" t="n">
        <v>0</v>
      </c>
      <c r="I6" s="32">
        <f>IF(SUM($G$4:G6)&lt;=10000,0.45,0.25)</f>
        <v/>
      </c>
      <c r="J6" s="33">
        <f>G6*I6+H6*0.05*G6</f>
        <v/>
      </c>
    </row>
    <row r="7" ht="15" customHeight="1" s="22">
      <c r="B7" s="31" t="n"/>
      <c r="C7" s="27" t="inlineStr">
        <is>
          <t>Ford Focus</t>
        </is>
      </c>
      <c r="D7" s="27" t="inlineStr">
        <is>
          <t>Home</t>
        </is>
      </c>
      <c r="E7" s="27" t="inlineStr">
        <is>
          <t>Training Centre</t>
        </is>
      </c>
      <c r="F7" s="27" t="inlineStr">
        <is>
          <t>CPD course</t>
        </is>
      </c>
      <c r="G7" s="31" t="n">
        <v>65</v>
      </c>
      <c r="H7" s="31" t="n">
        <v>0</v>
      </c>
      <c r="I7" s="32">
        <f>IF(SUM($G$4:G7)&lt;=10000,0.45,0.25)</f>
        <v/>
      </c>
      <c r="J7" s="33">
        <f>G7*I7+H7*0.05*G7</f>
        <v/>
      </c>
    </row>
    <row r="8" ht="15" customHeight="1" s="22">
      <c r="B8" s="31" t="n"/>
      <c r="C8" s="27" t="inlineStr">
        <is>
          <t>Ford Focus</t>
        </is>
      </c>
      <c r="D8" s="27" t="inlineStr">
        <is>
          <t>Home</t>
        </is>
      </c>
      <c r="E8" s="27" t="inlineStr">
        <is>
          <t>ABC Ltd</t>
        </is>
      </c>
      <c r="F8" s="27" t="inlineStr">
        <is>
          <t>Follow-up meeting</t>
        </is>
      </c>
      <c r="G8" s="31" t="n">
        <v>24</v>
      </c>
      <c r="H8" s="31" t="n">
        <v>0</v>
      </c>
      <c r="I8" s="32">
        <f>IF(SUM($G$4:G8)&lt;=10000,0.45,0.25)</f>
        <v/>
      </c>
      <c r="J8" s="33">
        <f>G8*I8+H8*0.05*G8</f>
        <v/>
      </c>
    </row>
    <row r="9" ht="15" customHeight="1" s="22">
      <c r="B9" s="31" t="n"/>
      <c r="C9" s="27" t="n"/>
      <c r="D9" s="27" t="n"/>
      <c r="F9" s="27" t="n"/>
      <c r="G9" s="34" t="n"/>
      <c r="H9" s="34" t="n"/>
      <c r="I9" s="32">
        <f>IF(SUM($G$4:G9)&lt;=10000,0.45,0.25)</f>
        <v/>
      </c>
      <c r="J9" s="27">
        <f>G9*I9+H9*0.05*G9</f>
        <v/>
      </c>
    </row>
    <row r="10" ht="15" customHeight="1" s="22">
      <c r="B10" s="31" t="n"/>
      <c r="C10" s="27" t="n"/>
      <c r="D10" s="27" t="n"/>
      <c r="F10" s="27" t="n"/>
      <c r="G10" s="34" t="n"/>
      <c r="H10" s="34" t="n"/>
      <c r="I10" s="32">
        <f>IF(SUM($G$4:G10)&lt;=10000,0.45,0.25)</f>
        <v/>
      </c>
      <c r="J10" s="27">
        <f>G10*I10+H10*0.05*G10</f>
        <v/>
      </c>
    </row>
    <row r="11" ht="15" customHeight="1" s="22">
      <c r="B11" s="31" t="n"/>
      <c r="C11" s="27" t="n"/>
      <c r="D11" s="27" t="n"/>
      <c r="F11" s="27" t="n"/>
      <c r="G11" s="34" t="n"/>
      <c r="H11" s="34" t="n"/>
      <c r="I11" s="32">
        <f>IF(SUM($G$4:G11)&lt;=10000,0.45,0.25)</f>
        <v/>
      </c>
      <c r="J11" s="27">
        <f>G11*I11+H11*0.05*G11</f>
        <v/>
      </c>
    </row>
    <row r="12" ht="15" customHeight="1" s="22">
      <c r="B12" s="31" t="n"/>
      <c r="C12" s="27" t="n"/>
      <c r="D12" s="27" t="n"/>
      <c r="F12" s="27" t="n"/>
      <c r="G12" s="34" t="n"/>
      <c r="H12" s="34" t="n"/>
      <c r="I12" s="32">
        <f>IF(SUM($G$4:G12)&lt;=10000,0.45,0.25)</f>
        <v/>
      </c>
      <c r="J12" s="27">
        <f>G12*I12+H12*0.05*G12</f>
        <v/>
      </c>
    </row>
    <row r="13" ht="15" customHeight="1" s="22">
      <c r="B13" s="31" t="n"/>
      <c r="C13" s="27" t="n"/>
      <c r="D13" s="27" t="n"/>
      <c r="F13" s="27" t="n"/>
      <c r="G13" s="34" t="n"/>
      <c r="H13" s="34" t="n"/>
      <c r="I13" s="32">
        <f>IF(SUM($G$4:G13)&lt;=10000,0.45,0.25)</f>
        <v/>
      </c>
      <c r="J13" s="27">
        <f>G13*I13+H13*0.05*G13</f>
        <v/>
      </c>
    </row>
    <row r="14" ht="15" customHeight="1" s="22">
      <c r="B14" s="31" t="n"/>
      <c r="C14" s="27" t="n"/>
      <c r="D14" s="27" t="n"/>
      <c r="F14" s="27" t="n"/>
      <c r="G14" s="34" t="n"/>
      <c r="H14" s="34" t="n"/>
      <c r="I14" s="32">
        <f>IF(SUM($G$4:G14)&lt;=10000,0.45,0.25)</f>
        <v/>
      </c>
      <c r="J14" s="27">
        <f>G14*I14+H14*0.05*G14</f>
        <v/>
      </c>
    </row>
    <row r="15" ht="15" customHeight="1" s="22">
      <c r="B15" s="31" t="n"/>
      <c r="C15" s="27" t="n"/>
      <c r="D15" s="27" t="n"/>
      <c r="F15" s="27" t="n"/>
      <c r="G15" s="34" t="n"/>
      <c r="H15" s="34" t="n"/>
      <c r="I15" s="32">
        <f>IF(SUM($G$4:G15)&lt;=10000,0.45,0.25)</f>
        <v/>
      </c>
      <c r="J15" s="27">
        <f>G15*I15+H15*0.05*G15</f>
        <v/>
      </c>
    </row>
    <row r="16" ht="15" customHeight="1" s="22">
      <c r="B16" s="31" t="n"/>
      <c r="C16" s="27" t="n"/>
      <c r="D16" s="27" t="n"/>
      <c r="F16" s="27" t="n"/>
      <c r="G16" s="34" t="n"/>
      <c r="H16" s="34" t="n"/>
      <c r="I16" s="32">
        <f>IF(SUM($G$4:G16)&lt;=10000,0.45,0.25)</f>
        <v/>
      </c>
      <c r="J16" s="27">
        <f>G16*I16+H16*0.05*G16</f>
        <v/>
      </c>
    </row>
    <row r="17" ht="15" customHeight="1" s="22">
      <c r="B17" s="31" t="n"/>
      <c r="C17" s="27" t="n"/>
      <c r="D17" s="27" t="n"/>
      <c r="F17" s="27" t="n"/>
      <c r="G17" s="34" t="n"/>
      <c r="H17" s="34" t="n"/>
      <c r="I17" s="32">
        <f>IF(SUM($G$4:G17)&lt;=10000,0.45,0.25)</f>
        <v/>
      </c>
      <c r="J17" s="27">
        <f>G17*I17+H17*0.05*G17</f>
        <v/>
      </c>
    </row>
    <row r="18" ht="15" customHeight="1" s="22">
      <c r="B18" s="31" t="n"/>
      <c r="C18" s="27" t="n"/>
      <c r="D18" s="27" t="n"/>
      <c r="F18" s="27" t="n"/>
      <c r="G18" s="34" t="n"/>
      <c r="H18" s="34" t="n"/>
      <c r="I18" s="32">
        <f>IF(SUM($G$4:G18)&lt;=10000,0.45,0.25)</f>
        <v/>
      </c>
      <c r="J18" s="27">
        <f>G18*I18+H18*0.05*G18</f>
        <v/>
      </c>
    </row>
    <row r="19" ht="15" customHeight="1" s="22">
      <c r="B19" s="31" t="n"/>
      <c r="C19" s="27" t="n"/>
      <c r="D19" s="27" t="n"/>
      <c r="F19" s="27" t="n"/>
      <c r="G19" s="34" t="n"/>
      <c r="H19" s="34" t="n"/>
      <c r="I19" s="32">
        <f>IF(SUM($G$4:G19)&lt;=10000,0.45,0.25)</f>
        <v/>
      </c>
      <c r="J19" s="27">
        <f>G19*I19+H19*0.05*G19</f>
        <v/>
      </c>
    </row>
    <row r="20" ht="15" customHeight="1" s="22">
      <c r="B20" s="31" t="n"/>
      <c r="C20" s="27" t="n"/>
      <c r="D20" s="27" t="n"/>
      <c r="F20" s="27" t="n"/>
      <c r="G20" s="34" t="n"/>
      <c r="H20" s="34" t="n"/>
      <c r="I20" s="32">
        <f>IF(SUM($G$4:G20)&lt;=10000,0.45,0.25)</f>
        <v/>
      </c>
      <c r="J20" s="27">
        <f>G20*I20+H20*0.05*G20</f>
        <v/>
      </c>
    </row>
    <row r="21" ht="15" customHeight="1" s="22">
      <c r="B21" s="31" t="n"/>
      <c r="C21" s="27" t="n"/>
      <c r="D21" s="27" t="n"/>
      <c r="F21" s="27" t="n"/>
      <c r="G21" s="34" t="n"/>
      <c r="H21" s="34" t="n"/>
      <c r="I21" s="32">
        <f>IF(SUM($G$4:G21)&lt;=10000,0.45,0.25)</f>
        <v/>
      </c>
      <c r="J21" s="27">
        <f>G21*I21+H21*0.05*G21</f>
        <v/>
      </c>
    </row>
    <row r="22" ht="15" customHeight="1" s="22">
      <c r="B22" s="31" t="n"/>
      <c r="C22" s="27" t="n"/>
      <c r="D22" s="27" t="n"/>
      <c r="F22" s="27" t="n"/>
      <c r="G22" s="34" t="n"/>
      <c r="H22" s="34" t="n"/>
      <c r="I22" s="32">
        <f>IF(SUM($G$4:G22)&lt;=10000,0.45,0.25)</f>
        <v/>
      </c>
      <c r="J22" s="27">
        <f>G22*I22+H22*0.05*G22</f>
        <v/>
      </c>
    </row>
    <row r="23" ht="15" customHeight="1" s="22">
      <c r="B23" s="31" t="n"/>
      <c r="C23" s="27" t="n"/>
      <c r="D23" s="27" t="n"/>
      <c r="F23" s="27" t="n"/>
      <c r="G23" s="34" t="n"/>
      <c r="H23" s="34" t="n"/>
      <c r="I23" s="32">
        <f>IF(SUM($G$4:G23)&lt;=10000,0.45,0.25)</f>
        <v/>
      </c>
      <c r="J23" s="27">
        <f>G23*I23+H23*0.05*G23</f>
        <v/>
      </c>
    </row>
    <row r="33" ht="15" customHeight="1" s="22">
      <c r="E33" s="27" t="n"/>
      <c r="J33" s="35" t="n"/>
    </row>
    <row r="34" ht="15" customHeight="1" s="22">
      <c r="E34" s="27" t="n"/>
      <c r="J34" s="35" t="n"/>
    </row>
    <row r="35" ht="15" customHeight="1" s="22">
      <c r="E35" s="27" t="n"/>
      <c r="J35" s="35" t="n"/>
    </row>
    <row r="36" ht="15" customHeight="1" s="22">
      <c r="E36" s="27" t="n"/>
      <c r="J36" s="35" t="n"/>
    </row>
    <row r="37" ht="15" customHeight="1" s="22">
      <c r="E37" s="27" t="n"/>
      <c r="J37" s="35" t="n"/>
    </row>
    <row r="38" ht="15" customHeight="1" s="22">
      <c r="E38" s="27" t="n"/>
      <c r="J38" s="35" t="n"/>
    </row>
    <row r="39" ht="15" customHeight="1" s="22">
      <c r="E39" s="27" t="n"/>
      <c r="J39" s="35" t="n"/>
    </row>
    <row r="40" ht="15" customHeight="1" s="22">
      <c r="E40" s="27" t="n"/>
      <c r="J40" s="35" t="n"/>
    </row>
    <row r="41" ht="15" customHeight="1" s="22">
      <c r="E41" s="27" t="n"/>
      <c r="J41" s="35" t="n"/>
    </row>
    <row r="42" ht="15" customHeight="1" s="22">
      <c r="E42" s="27" t="n"/>
      <c r="J42" s="35" t="n"/>
    </row>
    <row r="43" ht="15" customHeight="1" s="22">
      <c r="E43" s="27" t="n"/>
      <c r="J43" s="35" t="n"/>
    </row>
    <row r="44" ht="15" customHeight="1" s="22">
      <c r="E44" s="27" t="n"/>
      <c r="J44" s="35" t="n"/>
    </row>
    <row r="45" ht="15" customHeight="1" s="22">
      <c r="E45" s="27" t="n"/>
      <c r="J45" s="35" t="n"/>
    </row>
    <row r="46" ht="15" customHeight="1" s="22">
      <c r="E46" s="27" t="n"/>
      <c r="J46" s="35" t="n"/>
    </row>
    <row r="47" ht="15" customHeight="1" s="22">
      <c r="E47" s="27" t="n"/>
      <c r="J47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980B9"/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22" customWidth="1" style="21" min="2" max="2"/>
    <col width="14" customWidth="1" style="21" min="3" max="4"/>
    <col width="16" customWidth="1" style="21" min="5" max="5"/>
    <col width="14" customWidth="1" style="21" min="6" max="6"/>
    <col width="16" customWidth="1" style="21" min="7" max="7"/>
    <col width="14" customWidth="1" style="21" min="8" max="8"/>
  </cols>
  <sheetData>
    <row r="1" ht="39.75" customHeight="1" s="22">
      <c r="A1" s="28" t="n"/>
      <c r="B1" s="29" t="inlineStr">
        <is>
          <t>ANNUAL MILEAGE SUMMARY</t>
        </is>
      </c>
      <c r="C1" s="30" t="inlineStr">
        <is>
          <t>Totals and tax claim calculation</t>
        </is>
      </c>
      <c r="D1" s="28" t="n"/>
      <c r="E1" s="28" t="n"/>
      <c r="F1" s="28" t="n"/>
      <c r="G1" s="28" t="n"/>
    </row>
    <row r="3" ht="15" customHeight="1" s="22">
      <c r="B3" s="28" t="inlineStr">
        <is>
          <t>Month</t>
        </is>
      </c>
      <c r="C3" s="28" t="inlineStr">
        <is>
          <t>Total Miles</t>
        </is>
      </c>
      <c r="D3" s="28" t="inlineStr">
        <is>
          <t>Business Miles</t>
        </is>
      </c>
      <c r="E3" s="28" t="inlineStr">
        <is>
          <t>Passenger Miles</t>
        </is>
      </c>
      <c r="F3" s="28" t="inlineStr">
        <is>
          <t>Claim Rate</t>
        </is>
      </c>
      <c r="G3" s="28" t="inlineStr">
        <is>
          <t>Claim Amount</t>
        </is>
      </c>
      <c r="H3" s="28" t="inlineStr">
        <is>
          <t>Cumulative</t>
        </is>
      </c>
    </row>
    <row r="4" ht="15" customHeight="1" s="22">
      <c r="B4" s="27" t="inlineStr">
        <is>
          <t>Apr</t>
        </is>
      </c>
      <c r="C4" s="34" t="n"/>
      <c r="D4" s="36">
        <f>C4</f>
        <v/>
      </c>
      <c r="E4" s="34" t="n"/>
      <c r="F4" s="37">
        <f>IF(H4&lt;=10000,0.45,0.25)</f>
        <v/>
      </c>
      <c r="G4" s="38">
        <f>D4*F4+E4*0.05</f>
        <v/>
      </c>
      <c r="H4" s="36">
        <f>D4</f>
        <v/>
      </c>
    </row>
    <row r="5" ht="15" customHeight="1" s="22">
      <c r="B5" s="27" t="inlineStr">
        <is>
          <t>May</t>
        </is>
      </c>
      <c r="C5" s="34" t="n"/>
      <c r="D5" s="36">
        <f>C5</f>
        <v/>
      </c>
      <c r="E5" s="34" t="n"/>
      <c r="F5" s="37">
        <f>IF(H5&lt;=10000,0.45,0.25)</f>
        <v/>
      </c>
      <c r="G5" s="38">
        <f>D5*F5+E5*0.05</f>
        <v/>
      </c>
      <c r="H5" s="36">
        <f>H4+D5</f>
        <v/>
      </c>
    </row>
    <row r="6" ht="15" customHeight="1" s="22">
      <c r="B6" s="27" t="inlineStr">
        <is>
          <t>Jun</t>
        </is>
      </c>
      <c r="C6" s="34" t="n"/>
      <c r="D6" s="36">
        <f>C6</f>
        <v/>
      </c>
      <c r="E6" s="34" t="n"/>
      <c r="F6" s="37">
        <f>IF(H6&lt;=10000,0.45,0.25)</f>
        <v/>
      </c>
      <c r="G6" s="38">
        <f>D6*F6+E6*0.05</f>
        <v/>
      </c>
      <c r="H6" s="36">
        <f>H5+D6</f>
        <v/>
      </c>
    </row>
    <row r="7" ht="15" customHeight="1" s="22">
      <c r="B7" s="27" t="inlineStr">
        <is>
          <t>Jul</t>
        </is>
      </c>
      <c r="C7" s="34" t="n"/>
      <c r="D7" s="36">
        <f>C7</f>
        <v/>
      </c>
      <c r="E7" s="34" t="n"/>
      <c r="F7" s="37">
        <f>IF(H7&lt;=10000,0.45,0.25)</f>
        <v/>
      </c>
      <c r="G7" s="38">
        <f>D7*F7+E7*0.05</f>
        <v/>
      </c>
      <c r="H7" s="36">
        <f>H6+D7</f>
        <v/>
      </c>
    </row>
    <row r="8" ht="15" customHeight="1" s="22">
      <c r="B8" s="27" t="inlineStr">
        <is>
          <t>Aug</t>
        </is>
      </c>
      <c r="C8" s="34" t="n"/>
      <c r="D8" s="36">
        <f>C8</f>
        <v/>
      </c>
      <c r="E8" s="34" t="n"/>
      <c r="F8" s="37">
        <f>IF(H8&lt;=10000,0.45,0.25)</f>
        <v/>
      </c>
      <c r="G8" s="38">
        <f>D8*F8+E8*0.05</f>
        <v/>
      </c>
      <c r="H8" s="36">
        <f>H7+D8</f>
        <v/>
      </c>
    </row>
    <row r="9" ht="15" customHeight="1" s="22">
      <c r="B9" s="27" t="inlineStr">
        <is>
          <t>Sep</t>
        </is>
      </c>
      <c r="C9" s="34" t="n"/>
      <c r="D9" s="36">
        <f>C9</f>
        <v/>
      </c>
      <c r="E9" s="34" t="n"/>
      <c r="F9" s="37">
        <f>IF(H9&lt;=10000,0.45,0.25)</f>
        <v/>
      </c>
      <c r="G9" s="38">
        <f>D9*F9+E9*0.05</f>
        <v/>
      </c>
      <c r="H9" s="36">
        <f>H8+D9</f>
        <v/>
      </c>
    </row>
    <row r="10" ht="15" customHeight="1" s="22">
      <c r="B10" s="27" t="inlineStr">
        <is>
          <t>Oct</t>
        </is>
      </c>
      <c r="C10" s="34" t="n"/>
      <c r="D10" s="36">
        <f>C10</f>
        <v/>
      </c>
      <c r="E10" s="34" t="n"/>
      <c r="F10" s="37">
        <f>IF(H10&lt;=10000,0.45,0.25)</f>
        <v/>
      </c>
      <c r="G10" s="38">
        <f>D10*F10+E10*0.05</f>
        <v/>
      </c>
      <c r="H10" s="36">
        <f>H9+D10</f>
        <v/>
      </c>
    </row>
    <row r="11" ht="15" customHeight="1" s="22">
      <c r="B11" s="27" t="inlineStr">
        <is>
          <t>Nov</t>
        </is>
      </c>
      <c r="C11" s="34" t="n"/>
      <c r="D11" s="36">
        <f>C11</f>
        <v/>
      </c>
      <c r="E11" s="34" t="n"/>
      <c r="F11" s="37">
        <f>IF(H11&lt;=10000,0.45,0.25)</f>
        <v/>
      </c>
      <c r="G11" s="38">
        <f>D11*F11+E11*0.05</f>
        <v/>
      </c>
      <c r="H11" s="36">
        <f>H10+D11</f>
        <v/>
      </c>
    </row>
    <row r="12" ht="15" customHeight="1" s="22">
      <c r="B12" s="27" t="inlineStr">
        <is>
          <t>Dec</t>
        </is>
      </c>
      <c r="C12" s="34" t="n"/>
      <c r="D12" s="36">
        <f>C12</f>
        <v/>
      </c>
      <c r="E12" s="34" t="n"/>
      <c r="F12" s="37">
        <f>IF(H12&lt;=10000,0.45,0.25)</f>
        <v/>
      </c>
      <c r="G12" s="38">
        <f>D12*F12+E12*0.05</f>
        <v/>
      </c>
      <c r="H12" s="36">
        <f>H11+D12</f>
        <v/>
      </c>
    </row>
    <row r="13" ht="15" customHeight="1" s="22">
      <c r="B13" s="27" t="inlineStr">
        <is>
          <t>Jan</t>
        </is>
      </c>
      <c r="C13" s="34" t="n"/>
      <c r="D13" s="36">
        <f>C13</f>
        <v/>
      </c>
      <c r="E13" s="34" t="n"/>
      <c r="F13" s="37">
        <f>IF(H13&lt;=10000,0.45,0.25)</f>
        <v/>
      </c>
      <c r="G13" s="38">
        <f>D13*F13+E13*0.05</f>
        <v/>
      </c>
      <c r="H13" s="36">
        <f>H12+D13</f>
        <v/>
      </c>
    </row>
    <row r="14" ht="15" customHeight="1" s="22">
      <c r="B14" s="27" t="inlineStr">
        <is>
          <t>Feb</t>
        </is>
      </c>
      <c r="C14" s="34" t="n"/>
      <c r="D14" s="36">
        <f>C14</f>
        <v/>
      </c>
      <c r="E14" s="34" t="n"/>
      <c r="F14" s="37">
        <f>IF(H14&lt;=10000,0.45,0.25)</f>
        <v/>
      </c>
      <c r="G14" s="38">
        <f>D14*F14+E14*0.05</f>
        <v/>
      </c>
      <c r="H14" s="36">
        <f>H13+D14</f>
        <v/>
      </c>
    </row>
    <row r="15" ht="15" customHeight="1" s="22">
      <c r="B15" s="27" t="inlineStr">
        <is>
          <t>Mar</t>
        </is>
      </c>
      <c r="C15" s="34" t="n"/>
      <c r="D15" s="36">
        <f>C15</f>
        <v/>
      </c>
      <c r="E15" s="34" t="n"/>
      <c r="F15" s="37">
        <f>IF(H15&lt;=10000,0.45,0.25)</f>
        <v/>
      </c>
      <c r="G15" s="38">
        <f>D15*F15+E15*0.05</f>
        <v/>
      </c>
      <c r="H15" s="36">
        <f>H14+D15</f>
        <v/>
      </c>
    </row>
    <row r="16" ht="15" customHeight="1" s="22">
      <c r="B16" s="39" t="inlineStr">
        <is>
          <t>TOTALS</t>
        </is>
      </c>
      <c r="C16" s="40">
        <f>SUM(C4:C15)</f>
        <v/>
      </c>
      <c r="D16" s="40">
        <f>SUM(D4:D15)</f>
        <v/>
      </c>
      <c r="E16" s="40">
        <f>SUM(E4:E15)</f>
        <v/>
      </c>
      <c r="G16" s="41">
        <f>SUM(G4:G15)</f>
        <v/>
      </c>
    </row>
    <row r="18" ht="15" customHeight="1" s="22">
      <c r="B18" s="25" t="inlineStr">
        <is>
          <t>MILEAGE CLAIM SUMMARY</t>
        </is>
      </c>
    </row>
    <row r="19" ht="15" customHeight="1" s="22">
      <c r="B19" s="26" t="inlineStr">
        <is>
          <t>Total business miles</t>
        </is>
      </c>
      <c r="C19" s="40">
        <f>D15</f>
        <v/>
      </c>
    </row>
    <row r="20" ht="15" customHeight="1" s="22">
      <c r="B20" s="26" t="inlineStr">
        <is>
          <t>Miles at 45p rate</t>
        </is>
      </c>
      <c r="C20" s="36">
        <f>MIN(C14,10000)</f>
        <v/>
      </c>
    </row>
    <row r="21" ht="15" customHeight="1" s="22">
      <c r="B21" s="26" t="inlineStr">
        <is>
          <t>Miles at 25p rate</t>
        </is>
      </c>
      <c r="C21" s="36">
        <f>MAX(C14-10000,0)</f>
        <v/>
      </c>
    </row>
    <row r="22" ht="15" customHeight="1" s="22">
      <c r="B22" s="26" t="inlineStr">
        <is>
          <t>Claim at 45p rate</t>
        </is>
      </c>
      <c r="C22" s="33">
        <f>C16*0.45</f>
        <v/>
      </c>
    </row>
    <row r="23" ht="15" customHeight="1" s="22">
      <c r="B23" s="26" t="inlineStr">
        <is>
          <t>Claim at 25p rate</t>
        </is>
      </c>
      <c r="D23" s="33">
        <f>C18*0.25</f>
        <v/>
      </c>
    </row>
    <row r="24" ht="15" customHeight="1" s="22">
      <c r="B24" s="26" t="inlineStr">
        <is>
          <t>Passenger supplement</t>
        </is>
      </c>
      <c r="C24" s="33">
        <f>E15*0.05</f>
        <v/>
      </c>
    </row>
    <row r="25" ht="15" customHeight="1" s="22">
      <c r="B25" s="42" t="inlineStr">
        <is>
          <t>TOTAL TAX-FREE CLAIM</t>
        </is>
      </c>
      <c r="C25" s="43">
        <f>C19+C20+C21</f>
        <v/>
      </c>
      <c r="D25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2026-06-11T21:18:04Z</dcterms:created>
  <dcterms:modified xmlns:dcterms="http://purl.org/dc/terms/" xmlns:xsi="http://www.w3.org/2001/XMLSchema-instance" xsi:type="dcterms:W3CDTF">2026-06-11T21:19:01Z</dcterms:modified>
  <cp:revision>0</cp:revision>
</cp:coreProperties>
</file>